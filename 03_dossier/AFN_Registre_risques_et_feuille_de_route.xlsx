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Registre prioritaire" sheetId="2" state="visible" r:id="rId4"/>
    <sheet name="Risques résiduels" sheetId="3" state="visible" r:id="rId5"/>
    <sheet name="Feuille de route" sheetId="4" state="visible" r:id="rId6"/>
    <sheet name="Scénarios retenus" sheetId="5" state="visible" r:id="rId7"/>
    <sheet name="Projets MEHARI" sheetId="6" state="visible" r:id="rId8"/>
    <sheet name="Synthèse" sheetId="7" state="visible" r:id="rId9"/>
    <sheet name="Scénarios exclus" sheetId="8" state="visible" r:id="rId10"/>
  </sheets>
  <definedNames>
    <definedName function="false" hidden="true" localSheetId="3" name="_xlnm._FilterDatabase" vbProcedure="false">'Feuille de route'!$A$5:$S$17</definedName>
    <definedName function="false" hidden="true" localSheetId="7" name="_xlnm._FilterDatabase" vbProcedure="false">'Scénarios exclus'!$A$4:$G$170</definedName>
    <definedName function="false" hidden="true" localSheetId="4" name="_xlnm._FilterDatabase" vbProcedure="false">'Scénarios retenus'!$A$4:$W$21</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D3" authorId="0">
      <text>
        <r>
          <rPr>
            <sz val="10"/>
            <rFont val="Arial"/>
            <family val="2"/>
          </rPr>
          <t xml:space="preserve">Hypothèse de l'équipe : date à laquelle la direction valide le plan. Modifier cette cellule recalcule les dates indicatives.</t>
        </r>
      </text>
    </comment>
  </commentList>
</comments>
</file>

<file path=xl/sharedStrings.xml><?xml version="1.0" encoding="utf-8"?>
<sst xmlns="http://schemas.openxmlformats.org/spreadsheetml/2006/main" count="2489" uniqueCount="1291">
  <si>
    <t xml:space="preserve">AFN — Registre des risques et feuille de route (TP MEHARI)</t>
  </si>
  <si>
    <t xml:space="preserve">Version 5 du 23/10/2026 — auteurs : Kleiton KITANI, Ryan AMORY. Tableau de pilotage associé au classeur AFN_MEHARI_v04_2026-10-20.xlsm et au journal d'hypothèses v11.</t>
  </si>
  <si>
    <t xml:space="preserve">Objet</t>
  </si>
  <si>
    <t xml:space="preserve">Livrables 3 (registre des risques) et 4 (feuille de route) de l'énoncé (§6, p.4), au format des modèles du §7 (p.5–6), complétés des colonnes demandées aux étapes 23 à 27.</t>
  </si>
  <si>
    <t xml:space="preserve">Source des niveaux</t>
  </si>
  <si>
    <t xml:space="preserve">Classeur MEHARI-Standard 2022 Éd. 2.1 (v04), feuille Scénarios : colonnes L (impact intrinsèque), M (exposition), P (gravité intrinsèque), X/Y/Z (I, P, gravité calculés). Valeurs relevées sur des copies du classeur recalculées ; elles reproduisent exactement les valeurs enregistrées par Excel (Tbord du classeur rendu).</t>
  </si>
  <si>
    <t xml:space="preserve">« Actuel »</t>
  </si>
  <si>
    <t xml:space="preserve">Gravité actuelle, tenant compte de l'état actuel des services de sécurité (option 2). Elle reste égale à la gravité intrinsèque : les mesures de base existent mais ne sont ni pilotées ni vérifiées, et MEHARI les note au niveau 1 (journal O-16).</t>
  </si>
  <si>
    <t xml:space="preserve">« Après plan »</t>
  </si>
  <si>
    <t xml:space="preserve">Gravité résiduelle (option 3) du classeur rendu : 12 projets décidés (feuille Projets, col. D), niveaux cibles fixés à 3 (« correctement mis en œuvre »). Objectif à six mois : 13 scénarios retenus inacceptables sur 20, contre 19 aujourd'hui.</t>
  </si>
  <si>
    <t xml:space="preserve">« À terme »</t>
  </si>
  <si>
    <t xml:space="preserve">Même calcul sur une copie, avec les cibles d'origine du modèle, souvent 4 (« mature et documenté ») : 2 scénarios inacceptables, les acceptés de RP-6. Horizon de 12 à 18 mois.</t>
  </si>
  <si>
    <t xml:space="preserve">Grille de gravité</t>
  </si>
  <si>
    <t xml:space="preserve">Grille d'acceptabilité du classeur (onglet Gravité), identique à celle du guide (p.41). Niveau 4 : risque insupportable, mesures d'urgence ; niveau 3 : inadmissible, à réduire dans un plan ; niveaux 1–2 : tolérés (guide p.16). Grille non encore validée par la direction (M-12).</t>
  </si>
  <si>
    <t xml:space="preserve">Priorités</t>
  </si>
  <si>
    <t xml:space="preserve">Convention de l'équipe. P1 : à lancer au mois 1, terminé au plus tard au mois 2 (risque de niveau 4, incident déjà subi ou mesure d'urgence). P2 : mois 2 à 4. P3 : à partir du mois 4.</t>
  </si>
  <si>
    <t xml:space="preserve">Charge / coût</t>
  </si>
  <si>
    <t xml:space="preserve">Granularité demandée par l'énoncé (étape 25), complétée d'un ordre de grandeur (journal H-08) : Faible = outils déjà en place, au plus 3 jours-homme ; Moyen = achat ou abonnement, ou 4 à 10 jours-homme ; Élevé = projet de plusieurs mois. Jours du prestataire valorisés à 700 € HT, temps interne à 350 € chargés (coût d'opportunité). Total estimé : 74 jours-homme ; coût externe de la première année : environ 16 à 26 k€.</t>
  </si>
  <si>
    <t xml:space="preserve">Responsables</t>
  </si>
  <si>
    <t xml:space="preserve">Responsables des actions : responsable IT à temps partiel, exploitation confiée à un prestataire, référent SSI (qui porte aussi la conformité), direction, RH (journal H-11, H-26). Propriétaires des risques : des responsables métier ayant autorité (direction, direction administrative et financière, responsable pédagogique), colonne Q du registre. L'organisation réelle d'AFN reste à confirmer (M-09).</t>
  </si>
  <si>
    <t xml:space="preserve">Échéances</t>
  </si>
  <si>
    <t xml:space="preserve">Exprimées en mois après la validation du plan (M0), comme dans le modèle de l'énoncé. La date de M0 est une hypothèse, modifiable dans la cellule jaune de l'onglet Feuille de route ; les dates indicatives se recalculent.</t>
  </si>
  <si>
    <t xml:space="preserve">Onglets</t>
  </si>
  <si>
    <t xml:space="preserve">Registre prioritaire : les 8 risques prioritaires, numérotés par ordre de gravité, avec leur propriétaire. Risques résiduels : tous les scénarios qui restent au niveau 3 après le plan, retenus ou non, avec la décision proposée. Feuille de route : 19 actions, 6 lots, mesures ISO 27002, planning M1–M12 et phase 2. Scénarios retenus : les 20 scénarios analysés. Projets MEHARI : choix des 12 projets, gain calculé et candidats de la phase 2. Synthèse : comptages et évolution par mois. Scénarios exclus : les 163 autres scénarios, avec motif et gravité après plan.</t>
  </si>
  <si>
    <t xml:space="preserve">Couleurs</t>
  </si>
  <si>
    <t xml:space="preserve">Gravité 4 rouge, 3 orange, 2 jaune, 1 vert. Cellule jaune vif : seule valeur à saisir (date M0).</t>
  </si>
  <si>
    <t xml:space="preserve">Références</t>
  </si>
  <si>
    <t xml:space="preserve">Énoncé « TP MEHARI – Analyse de risques SSI » ; « Introduction aux TP » ; CLUSIF, Guide MEHARI-Standard 2022 Éd. 2 ; cours « Normes et standards » ; ISO/IEC 27001 et 27002:2022 ; journal d'hypothèses v11 (O-, H-, J-, M-, Q-).</t>
  </si>
  <si>
    <t xml:space="preserve">Registre des risques prioritaires — modèle de l'énoncé (§7, p.5), colonnes A à F</t>
  </si>
  <si>
    <t xml:space="preserve">Colonnes G à Q : compléments demandés par les étapes 21 à 27 et par le cours (propriétaire du risque). Les niveaux sont calculés à partir de l'onglet Scénarios retenus (maximum des scénarios du risque). Risques numérotés par ordre de gravité. « Après plan » : classeur rendu, cibles à 3 ; « à terme » : copie, cibles à 4.</t>
  </si>
  <si>
    <t xml:space="preserve">Risque</t>
  </si>
  <si>
    <t xml:space="preserve">Actif / processus</t>
  </si>
  <si>
    <t xml:space="preserve">Scénario</t>
  </si>
  <si>
    <t xml:space="preserve">Niveau résiduel</t>
  </si>
  <si>
    <t xml:space="preserve">Décision</t>
  </si>
  <si>
    <t xml:space="preserve">Justification</t>
  </si>
  <si>
    <t xml:space="preserve">Description du scénario</t>
  </si>
  <si>
    <t xml:space="preserve">Scénarios MEHARI</t>
  </si>
  <si>
    <t xml:space="preserve">Gravité actuelle (max)</t>
  </si>
  <si>
    <t xml:space="preserve">Gravité après plan, cibles à 3 (max)</t>
  </si>
  <si>
    <t xml:space="preserve">Gravité à terme, cibles à 4 (max)</t>
  </si>
  <si>
    <t xml:space="preserve">Écarts de services (questionnaires)</t>
  </si>
  <si>
    <t xml:space="preserve">Projets MEHARI</t>
  </si>
  <si>
    <t xml:space="preserve">Actions (feuille de route)</t>
  </si>
  <si>
    <t xml:space="preserve">Conditions, surveillance, transfert</t>
  </si>
  <si>
    <t xml:space="preserve">Exemple de l'énoncé</t>
  </si>
  <si>
    <t xml:space="preserve">Propriétaire du risque</t>
  </si>
  <si>
    <t xml:space="preserve">RP-1</t>
  </si>
  <si>
    <t xml:space="preserve">Fichiers bureautiques (NAS, postes) ; postes de travail</t>
  </si>
  <si>
    <t xml:space="preserve">Logiciel malveillant : fuite de données (confidentialité) et blocage des postes</t>
  </si>
  <si>
    <t xml:space="preserve">Réduire en urgence ; transférer en partie (étude d'assurance)</t>
  </si>
  <si>
    <t xml:space="preserve">DBUC04, seul scénario de niveau 4, est le volet confidentialité du risque : exfiltration de données avant chiffrement (double extorsion). Son niveau vient de l'exposition naturelle standard 4 aux logiciels malveillants. Le blocage des postes et l'effacement de fichiers (SAPD24, DBUD03) sont de niveau 3. Le guide demande des mesures d'urgence hors cycle budgétaire (p.16).</t>
  </si>
  <si>
    <t xml:space="preserve">Un logiciel malveillant introduit par une pièce jointe, un lien ou un support exfiltre des fichiers, puis les chiffre ou les efface et rend les postes inutilisables.</t>
  </si>
  <si>
    <t xml:space="preserve">DBUC04, DBUD03, SAPD24</t>
  </si>
  <si>
    <t xml:space="preserve">4A02 = 0,92 (antivirus actif mais non piloté, H-16) ; 6B01 = 0 (disques non chiffrés) ; 4A03 = 0,8 (sauvegardes sans contrôle ni copie hors site, H-19)</t>
  </si>
  <si>
    <t xml:space="preserve">PMAL, CHDB, SADC</t>
  </si>
  <si>
    <t xml:space="preserve">A03, A04, A05, A09, A13, A14, A17</t>
  </si>
  <si>
    <t xml:space="preserve">Transfert : étude d'une assurance cyber (A17). Les sauvegardes (SADC) n'abaissent pas la gravité calculée de DBUC04 mais conditionnent la reprise après infection ; la réponse à incident (A14) encadre la notification à la CNIL.</t>
  </si>
  <si>
    <t xml:space="preserve">—</t>
  </si>
  <si>
    <t xml:space="preserve">Direction</t>
  </si>
  <si>
    <t xml:space="preserve">RP-2</t>
  </si>
  <si>
    <t xml:space="preserve">Comptes des salariés, des formateurs et des administrateurs ; outils internes joints par le VPN ; fichiers bureautiques</t>
  </si>
  <si>
    <t xml:space="preserve">Usurpation de comptes et divulgation après hameçonnage</t>
  </si>
  <si>
    <t xml:space="preserve">Réduire</t>
  </si>
  <si>
    <t xml:space="preserve">Incident déjà subi (énoncé p.2) ; R-01 (§7 p.5) : MFA, sensibilisation ciblée, revue des privilèges, supervision. Couvre l'accès distant par le VPN avec un compte volé (H-05). L'usage d'un compte volé sur les services cloud est traité avec DEXC01 (RP-5).</t>
  </si>
  <si>
    <t xml:space="preserve">Un salarié ou un formateur répond à un message d'hameçonnage : il transmet des fichiers ou ses identifiants ; un tiers se connecte avec ce compte, y compris par le VPN, puis consulte, télécharge ou modifie des données.</t>
  </si>
  <si>
    <t xml:space="preserve">DBUC03, DAPC01-b, DAPI01-a</t>
  </si>
  <si>
    <t xml:space="preserve">1C06 = 0 (aucune procédure ni formation, H-23) ; 3A07 = 0 (pas d'authentification forte, H-01) ; 3A04 = 0,21 (identifiant et mot de passe seulement, H-21) ; 3A09 = 0,8 (MFA disponible mais non imposé, H-17)</t>
  </si>
  <si>
    <t xml:space="preserve">PMAL, CASA</t>
  </si>
  <si>
    <t xml:space="preserve">A01, A02, A03, A10, A14</t>
  </si>
  <si>
    <t xml:space="preserve">R-01</t>
  </si>
  <si>
    <t xml:space="preserve">RP-3</t>
  </si>
  <si>
    <t xml:space="preserve">Données des outils internes (serveurs virtuels) et données externalisées sur le cloud (LMS, CRM, facturation, stockage collaboratif)</t>
  </si>
  <si>
    <t xml:space="preserve">Perte de données faute de sauvegardes restaurables</t>
  </si>
  <si>
    <t xml:space="preserve">Incident « absence ponctuelle de sauvegardes vérifiées » (énoncé p.2). L'énoncé demande de formaliser et tester une restauration (P1, Mois 2). DAPD02 porte sur les outils internes, sauvegardés avec le NAS (SADC, A05) ; les données SaaS relèvent de DEXD01 (copie indépendante, DIDE, A06). Le résiduel reste à 2 même si les services ne dépassent pas 3.</t>
  </si>
  <si>
    <t xml:space="preserve">Des données sont effacées par erreur ; la restauration échoue ou est incomplète car les sauvegardes n'ont pas été vérifiées.</t>
  </si>
  <si>
    <t xml:space="preserve">DAPD02, DEXD01</t>
  </si>
  <si>
    <t xml:space="preserve">4A03 = 0,8 (sauvegarde nocturne, plusieurs générations, sans plan de contrôle ni copie hors site, H-19) ; 4A04 = 0 (aucune copie interne des données SaaS, H-02)</t>
  </si>
  <si>
    <t xml:space="preserve">SADC, DIDE</t>
  </si>
  <si>
    <t xml:space="preserve">A05, A06, A13</t>
  </si>
  <si>
    <t xml:space="preserve">Objectifs de reprise (H-31) : perte de données maximale 24 h ; reprise du NAS et des outils internes en 1 jour ouvré.</t>
  </si>
  <si>
    <t xml:space="preserve">Plan de traitement §7</t>
  </si>
  <si>
    <t xml:space="preserve">Direction administrative et financière</t>
  </si>
  <si>
    <t xml:space="preserve">RP-4</t>
  </si>
  <si>
    <t xml:space="preserve">Continuité des formations : LMS, visioconférence, messagerie</t>
  </si>
  <si>
    <t xml:space="preserve">Indisponibilité d'un service SaaS critique</t>
  </si>
  <si>
    <t xml:space="preserve">Réduire ; transfert marginal</t>
  </si>
  <si>
    <t xml:space="preserve">Incident d'indisponibilité SaaS subi (énoncé p.2) ; R-03 propose PCA, procédure de contournement, engagements contractuels et tests (§7 p.5). SEXD01 (disparition du prestataire) est regroupé avec SEXD02 : même actif, même gravité, même traitement ; la réversibilité des contrats est traitée par A06. La part transférée dépend des contrats, non fournis (M-10).</t>
  </si>
  <si>
    <t xml:space="preserve">Le prestataire d'un service SaaS critique est en panne ou indisponible pendant une session : les formations et les échanges sont interrompus.</t>
  </si>
  <si>
    <t xml:space="preserve">SEXD02, CEPD02 (SEXD01 regroupé)</t>
  </si>
  <si>
    <t xml:space="preserve">5D02 = 0 (ni service minimal ni solution de repli, H-24) ; 6A03 = 0 (pas de secours de la messagerie) ; 1E03 = 0 ; 1E01 = 0</t>
  </si>
  <si>
    <t xml:space="preserve">PSSE, SMEL</t>
  </si>
  <si>
    <t xml:space="preserve">A06, A07, A17</t>
  </si>
  <si>
    <t xml:space="preserve">Transfert marginal : une PME de 45 personnes obtient rarement des engagements de service négociés auprès d'éditeurs SaaS qui appliquent leurs conditions générales, et une assurance cyber couvre rarement une panne du fournisseur qui n'est pas un incident cyber. L'essentiel est la réduction : mode dégradé activé en moins de 4 heures (A07, H-31) et réversibilité des contrats (A06).</t>
  </si>
  <si>
    <t xml:space="preserve">R-03</t>
  </si>
  <si>
    <t xml:space="preserve">Responsable pédagogique</t>
  </si>
  <si>
    <t xml:space="preserve">RP-5</t>
  </si>
  <si>
    <t xml:space="preserve">Dossiers apprenants et données RH (fichiers bureautiques, stockage cloud, LMS) ; comptes d'anciens apprenants</t>
  </si>
  <si>
    <t xml:space="preserve">Divulgation par erreur de partage de fichiers</t>
  </si>
  <si>
    <t xml:space="preserve">Erreurs de partage subies (énoncé p.2) ; R-02 (§7 p.5) : classification, restriction des partages, revue des droits, journalisation. Couvre aussi les comptes d'anciens apprenants restés actifs dans le LMS (H-22). Limite de la base : MEHARI ne réduit DBUC02 que par le chiffrement sur le poste (6B01) ; l'effet réel des règles de partage (A08) est estimé hors classeur (R-23).</t>
  </si>
  <si>
    <t xml:space="preserve">Un fichier est envoyé au mauvais destinataire ou un espace cloud est partagé par un lien trop ouvert ; une personne extérieure accède à des données personnelles.</t>
  </si>
  <si>
    <t xml:space="preserve">DBUC02, DEXC01</t>
  </si>
  <si>
    <t xml:space="preserve">6B03 = 0 (aucune règle de partage, H-27) ; 6B01 = 0 ; 3A09 = 0,8 (MFA non imposé, H-17)</t>
  </si>
  <si>
    <t xml:space="preserve">CHDB, CASE</t>
  </si>
  <si>
    <t xml:space="preserve">A02, A08, A09, A10, A14</t>
  </si>
  <si>
    <t xml:space="preserve">Effet de A08 estimé par l'équipe hors classeur (R-23) : liens publics supprimés et partage externe limité ramènent DBUC02 et DEXC01 à 2 ; MEHARI obtient aussi 2 par CHDB et CASE.</t>
  </si>
  <si>
    <t xml:space="preserve">R-02</t>
  </si>
  <si>
    <t xml:space="preserve">RP-6</t>
  </si>
  <si>
    <t xml:space="preserve">Données des outils internes et leurs sauvegardes ; comptes administrateurs</t>
  </si>
  <si>
    <t xml:space="preserve">Abus de droits par un utilisateur autorisé ou un administrateur</t>
  </si>
  <si>
    <t xml:space="preserve">Réduire, puis accepter 12 mois (dérogation à la grille)</t>
  </si>
  <si>
    <t xml:space="preserve">Droits « variables selon les applications » (énoncé p.2) et comptes génériques (H-21). Après le plan, DAPD03 passe à 2 ; DAPC01-a et DAPI01-b restent à 3, car la base ne les réduit que par la dissuasion (3A08, 4A11). Options examinées : double validation des dossiers de financement et contrôles de vraisemblance (séparation des tâches, 5A03) contre la falsification (DAPI01-b) ; restriction des exports et des téléchargements massifs contre la diffusion (DAPC01-a) ; sauvegardes immuables contre la destruction des données et de leurs sauvegardes (DAPD03, A05). Même avec l'inventaire et le moindre privilège (A01, A10), la gravité reste 3 (H-32) : l'acceptation est une dérogation à la grille, soumise à la direction (A12).</t>
  </si>
  <si>
    <t xml:space="preserve">Une personne disposant de droits légitimes, notamment un administrateur, copie, modifie ou détruit des données, y compris les sauvegardes.</t>
  </si>
  <si>
    <t xml:space="preserve">DAPC01-a, DAPI01-b, DAPD03</t>
  </si>
  <si>
    <t xml:space="preserve">3A06 = 0 ; 3A07 = 0 ; 3A08 = 0 ; 4A11 = 0 (aucune journalisation revue, H-26) ; H-06, H-21</t>
  </si>
  <si>
    <t xml:space="preserve">SUAI</t>
  </si>
  <si>
    <t xml:space="preserve">A01, A10, A11, A12</t>
  </si>
  <si>
    <t xml:space="preserve">Acceptation pour 12 mois de DAPC01-a et DAPI01-b (colonne AA = A), validée par la direction comme dérogation à la grille, si : inventaire des droits fait (A01) ; revue trimestrielle des droits privilégiés (A10) ; journalisation et revue mensuelle des actions privilégiées, prestataire compris (A11) ; réexamen à M6. Sortie : pour DAPI01-b, le projet PIDA (phase 2, mois 7 à 9) et la double validation des dossiers ; pour DAPC01-a, la base MEHARI n'offre aucune sortie (il reste à 3 même avec des cibles à 4) : restriction des exports à étudier hors classeur, puis nouvelle décision à M12.</t>
  </si>
  <si>
    <t xml:space="preserve">RP-7</t>
  </si>
  <si>
    <t xml:space="preserve">Données circulant sur le réseau local ou stockées sur les postes nomades et personnels (portables des salariés, ordinateurs des formateurs extérieurs)</t>
  </si>
  <si>
    <t xml:space="preserve">Fuite de données par le réseau local et les postes nomades ou personnels</t>
  </si>
  <si>
    <t xml:space="preserve">Couvre les équipements réseau et l'accès distant du périmètre minimal (énoncé p.2). Réseau non cloisonné et Wi-Fi des apprenants supposé non séparé (H-20) : DBUC05 est conditionnel à cette hypothèse. Formateurs sur ordinateur personnel (H-21) ; données d'apprenants sur les portables (H-28). DBUC10-b est une approximation du vol de portable, absent de la base.</t>
  </si>
  <si>
    <t xml:space="preserve">Une personne connectée au Wi-Fi capte des fichiers échangés avec le NAS ; un proche d'un formateur copie des fichiers depuis son ordinateur personnel ; un portable volé expose les données de son disque.</t>
  </si>
  <si>
    <t xml:space="preserve">DBUC05, DBUC01-e, DBUC10-b</t>
  </si>
  <si>
    <t xml:space="preserve">5B01 = 1 (TLS vers les SaaS, flux internes non chiffrés, H-20) ; 1B05 = 0 ; 6C02 = 0 (H-21) ; 6B01 = 0 ; 2D01 à 2D03 = 0 (H-29)</t>
  </si>
  <si>
    <t xml:space="preserve">CHED, SAMP, CHDB</t>
  </si>
  <si>
    <t xml:space="preserve">A09, A15, A16</t>
  </si>
  <si>
    <t xml:space="preserve">Si le Wi-Fi des apprenants s'avère séparé (H-20), DBUC05 sort de la sélection.</t>
  </si>
  <si>
    <t xml:space="preserve">RP-8</t>
  </si>
  <si>
    <t xml:space="preserve">Messagerie d'AFN ; échanges avec les financeurs, les entreprises clientes et les apprenants (facturation et encaissement)</t>
  </si>
  <si>
    <t xml:space="preserve">Usurpation de l'identité d'AFN par courriel (fraude au RIB)</t>
  </si>
  <si>
    <t xml:space="preserve">Fraude au changement de RIB, fréquente dans les PME ; l'activité « Facturation et encaissement » n'avait aucun scénario. Intégrité de la messagerie cotée 3 (J-11). Le levier est l'authentification du domaine de messagerie (SPF, DKIM, DMARC) et la vérification des changements de RIB par un autre canal, pas la vigilance face à l'hameçonnage (RP-2).</t>
  </si>
  <si>
    <t xml:space="preserve">Un fraudeur envoie au nom d'AFN un courriel portant un faux RIB à un financeur ou à une entreprise cliente ; le paiement part sur son compte.</t>
  </si>
  <si>
    <t xml:space="preserve">CEPI02</t>
  </si>
  <si>
    <t xml:space="preserve">6B03 = 0 (aucune authentification des courriels, aucune règle sur les échanges sensibles, H-30)</t>
  </si>
  <si>
    <t xml:space="preserve">SMEL</t>
  </si>
  <si>
    <t xml:space="preserve">A18</t>
  </si>
  <si>
    <t xml:space="preserve">Objectif à 6 mois (classeur rendu, services portés au niveau 3) : 13 des 20 scénarios retenus restent au niveau 3 selon la grille actuelle, contre 19 aujourd'hui, et plus aucun n'est de niveau 4 dès la fin du mois 2. Tous les 13 sont en impact 3 et potentialité 2 : avec le critère d'acceptation proposé à la direction (« impact 3 et potentialité 2 : toléré sous surveillance », journal H-34), aucun ne resterait inadmissible. Les scénarios non retenus qui restent au niveau 3 sont listés dans l'onglet « Risques résiduels ».</t>
  </si>
  <si>
    <t xml:space="preserve">Trois risques demandent une décision immédiate de la direction : RP-1 (seul niveau 4 : mesures d'urgence A13 dès la semaine 1), RP-2 et RP-3 (incidents déjà subis, actions P1).</t>
  </si>
  <si>
    <t xml:space="preserve">Objectif réaliste à 6 mois (services portés au niveau 3, « correctement mis en œuvre ») : 13 des 20 scénarios retenus restent inacceptables, contre 19 aujourd'hui. Si les services atteignent les niveaux cibles du classeur (souvent 4), seuls restent au niveau 3 DAPC01-a et DAPI01-b (RP-6), acceptés par dérogation.</t>
  </si>
  <si>
    <t xml:space="preserve">Scénarios encore au niveau 3 après le plan (grille actuelle)</t>
  </si>
  <si>
    <t xml:space="preserve">Grille actuelle : le niveau 3 est inadmissible et appelle un plan d'action prioritaire (guide p.16 ; cours). Cet onglet rend explicite tout le risque résiduel, retenu ou non (ISO/IEC 27001 §6.1.3). Gravités : classeur rendu, option 3, cibles à 3. Colonne J : statut avec le critère d'acceptation proposé à la direction (« impact 3 et potentialité 2 : toléré sous surveillance », H-34).</t>
  </si>
  <si>
    <t xml:space="preserve">Réf.</t>
  </si>
  <si>
    <t xml:space="preserve">Ligne Scénarios</t>
  </si>
  <si>
    <t xml:space="preserve">Libellé MEHARI</t>
  </si>
  <si>
    <t xml:space="preserve">Statut</t>
  </si>
  <si>
    <t xml:space="preserve">Gravité actuelle</t>
  </si>
  <si>
    <t xml:space="preserve">Gravité après plan</t>
  </si>
  <si>
    <t xml:space="preserve">Pourquoi le niveau 3 demeure</t>
  </si>
  <si>
    <t xml:space="preserve">Décision proposée</t>
  </si>
  <si>
    <t xml:space="preserve">Réexamen</t>
  </si>
  <si>
    <t xml:space="preserve">Avec le critère proposé (H-34)</t>
  </si>
  <si>
    <t xml:space="preserve">DAPD03</t>
  </si>
  <si>
    <t xml:space="preserve">Destruction logique totale (fichiers et leurs sauvegardes) par un membre du personnel doté de droits privilégiés</t>
  </si>
  <si>
    <t xml:space="preserve">Retenu (RP-6)</t>
  </si>
  <si>
    <t xml:space="preserve">Avec des cibles à 3, le plan ne change ni l'impact ni la potentialité (3 et 2) ; l'effet n'apparaît qu'avec des protections matures (gravité à terme : 2).</t>
  </si>
  <si>
    <t xml:space="preserve">En cours de réduction par le plan : pas d'acceptation, réévaluation à M6</t>
  </si>
  <si>
    <t xml:space="preserve">M6</t>
  </si>
  <si>
    <t xml:space="preserve">Toléré sous surveillance</t>
  </si>
  <si>
    <t xml:space="preserve">DAPI01-a</t>
  </si>
  <si>
    <t xml:space="preserve">Falsification ou altération de données — en exploitation, par une personne non autorisée</t>
  </si>
  <si>
    <t xml:space="preserve">Retenu (RP-2)</t>
  </si>
  <si>
    <t xml:space="preserve">Potentialité ramenée de 3 à 2 par le plan ; l'impact reste 3, et la grille donne 3 pour un impact 3 et une potentialité 2.</t>
  </si>
  <si>
    <t xml:space="preserve">DAPI01-b</t>
  </si>
  <si>
    <t xml:space="preserve">Falsification ou altération de données — lors de traitements utilisateurs, par un utilisateur autorisé (dont le personnel ayant des droits privilégiés)</t>
  </si>
  <si>
    <t xml:space="preserve">La base ne le réduit que par la dissuasion (3A08, 4A11) ; effet estimé de A01 et A10 : potentialité 2, gravité toujours 3 (H-32).</t>
  </si>
  <si>
    <t xml:space="preserve">Acceptation 12 mois par dérogation (RP-6), sous conditions A01, A10, A11 ; sortie : PIDA (phase 2) et double validation des dossiers</t>
  </si>
  <si>
    <t xml:space="preserve">DAPC01-a</t>
  </si>
  <si>
    <t xml:space="preserve">Téléchargement, duplication ou diffusion volontaire de données — par un utilisateur autorisé (dont le personnel ayant des droits privilégiés)</t>
  </si>
  <si>
    <t xml:space="preserve">La base ne le réduit que par la dissuasion (3A08, 4A11), et il reste à 3 même avec des cibles à 4 ; effet estimé de A01 et A10 : potentialité 2, gravité toujours 3 (H-32).</t>
  </si>
  <si>
    <t xml:space="preserve">Acceptation 12 mois par dérogation (RP-6), sous conditions A01, A10, A11 ; pas de sortie dans la base : restriction des exports à étudier, décision à M12</t>
  </si>
  <si>
    <t xml:space="preserve">DAPC01-b</t>
  </si>
  <si>
    <t xml:space="preserve">Téléchargement, duplication ou diffusion volontaire de données — par un tiers non autorisé</t>
  </si>
  <si>
    <t xml:space="preserve">DBUC01-e</t>
  </si>
  <si>
    <t xml:space="preserve">Téléchargement, duplication ou diffusion volontaire de fichiers de données — par un proche d'un utilisateur autorisé, via son appareil personnel déclaré et autorisé</t>
  </si>
  <si>
    <t xml:space="preserve">Retenu (RP-7)</t>
  </si>
  <si>
    <t xml:space="preserve">DBUC02</t>
  </si>
  <si>
    <t xml:space="preserve">Diffusion accidentelle d'un fichier de données</t>
  </si>
  <si>
    <t xml:space="preserve">Retenu (RP-5)</t>
  </si>
  <si>
    <t xml:space="preserve">DBUC03</t>
  </si>
  <si>
    <t xml:space="preserve">Diffusion par l'utilisateur de fichiers de données , incluant les fichiers relatifs aux courriels reçus ou émis, agendas et contacts, par abus de confiance (hameçonnage ou "phishing")</t>
  </si>
  <si>
    <t xml:space="preserve">DBUC04</t>
  </si>
  <si>
    <t xml:space="preserve">Diffusion malveillante de fichiers de données par un logiciel malveillant (y compris rançongiciel et action différée après introduction d'un cheval de Troie)</t>
  </si>
  <si>
    <t xml:space="preserve">Retenu (RP-1)</t>
  </si>
  <si>
    <t xml:space="preserve">Potentialité ramenée de 4 à 2 par le plan ; l'impact reste 3, et la grille donne 3 pour un impact 3 et une potentialité 2.</t>
  </si>
  <si>
    <t xml:space="preserve">DBUC05</t>
  </si>
  <si>
    <t xml:space="preserve">Captation et divulgation de données en transit</t>
  </si>
  <si>
    <t xml:space="preserve">DBUC10-b</t>
  </si>
  <si>
    <t xml:space="preserve">Vol physique ou duplication — dans les bureaux, par une personne non autorisée (approximation du vol de portable)</t>
  </si>
  <si>
    <t xml:space="preserve">Émission de faux courriel</t>
  </si>
  <si>
    <t xml:space="preserve">Retenu (RP-8)</t>
  </si>
  <si>
    <t xml:space="preserve">DEXC01</t>
  </si>
  <si>
    <t xml:space="preserve">Téléchargement, duplication ou diffusion volontaire de fichiers de données</t>
  </si>
  <si>
    <t xml:space="preserve">CEPD03-a</t>
  </si>
  <si>
    <t xml:space="preserve">Destruction ou vol de courrier postal dans les locaux du courrier — par une personne non autorisée à pénétrer dans les locaux du courrier</t>
  </si>
  <si>
    <t xml:space="preserve">Non retenu (Hors périmètre)</t>
  </si>
  <si>
    <t xml:space="preserve">Courrier postal : le périmètre porte sur les services numériques (énoncé p.2) ; cohérent avec 1C06-02 = X</t>
  </si>
  <si>
    <t xml:space="preserve">Hors périmètre de l'analyse (courrier postal) : la direction confirme l'exclusion</t>
  </si>
  <si>
    <t xml:space="preserve">Reste inadmissible (I3, P3)</t>
  </si>
  <si>
    <t xml:space="preserve">CEPD03-b</t>
  </si>
  <si>
    <t xml:space="preserve">Destruction ou vol de courrier postal dans les locaux du courrier — par une personne autorisée à pénétrer dans les locaux du courrier (dont le personnel doté de droits privilégiés)</t>
  </si>
  <si>
    <t xml:space="preserve">CEPD04</t>
  </si>
  <si>
    <t xml:space="preserve">Perte accidentelle de courrier postal reçu, dans le circuit de distribution interne.</t>
  </si>
  <si>
    <t xml:space="preserve">CEPI01</t>
  </si>
  <si>
    <t xml:space="preserve">Falsification ou altération de courriel — en cours d'envoi ou de réception</t>
  </si>
  <si>
    <t xml:space="preserve">Non évalué (itération 1)</t>
  </si>
  <si>
    <t xml:space="preserve">Gravité 3 depuis que l'intégrité de la messagerie est cotée 3 (J-11). Partage son levier avec un scénario retenu : 6B03, comme CEPI02 (projet SMEL). Reste au niveau 3 après le plan avec des cibles à 3 : risque résiduel (onglet Risques résiduels).</t>
  </si>
  <si>
    <t xml:space="preserve">La direction prend acte d'une limite de périmètre (pas d'acceptation) ; évaluation à M6 avec le diagnostic étendu</t>
  </si>
  <si>
    <t xml:space="preserve">CEPI03</t>
  </si>
  <si>
    <t xml:space="preserve">Réception de courrier falsifié</t>
  </si>
  <si>
    <t xml:space="preserve">Gravité 3 depuis que l'intégrité de la messagerie est cotée 3 (J-11). Partage son levier avec un scénario retenu : 1C06, comme DBUC03 (projet PMAL) ; la vérification des RIB par un autre canal (A18) le couvre aussi. Reste au niveau 3 après le plan avec des cibles à 3 : risque résiduel (onglet Risques résiduels).</t>
  </si>
  <si>
    <t xml:space="preserve">DAPC02</t>
  </si>
  <si>
    <t xml:space="preserve">Captation et divulgation de données en transit — sur le réseau et divulgation</t>
  </si>
  <si>
    <t xml:space="preserve">Remplacé par DBUC05 (même événement, même mesure 5B01, projet CHED) : les flux exposés sur le réseau local sont ceux des fichiers bureautiques du NAS (D02), pas des données des outils internes (journal O-17). Reste au niveau 3 après le plan avec des cibles à 3 : risque résiduel (onglet Risques résiduels).</t>
  </si>
  <si>
    <t xml:space="preserve">DBUC01-b</t>
  </si>
  <si>
    <t xml:space="preserve">Téléchargement, duplication ou diffusion volontaire de fichiers de données , incluant les fichiers relatifs aux agendas et contacts — fichiers de données bureautiques partagées, par un tiers non autorisé</t>
  </si>
  <si>
    <t xml:space="preserve">Partage au moins un service de réduction avec un scénario retenu (DAPI01-a, DAPC01-b, DBUC02) : bénéficie en partie des mêmes projets ; non retenu pour garder une sélection courte. Reste au niveau 3 après le plan avec des cibles à 3 : risque résiduel (onglet Risques résiduels).</t>
  </si>
  <si>
    <t xml:space="preserve">DBUC01-c</t>
  </si>
  <si>
    <t xml:space="preserve">Téléchargement, duplication ou diffusion volontaire de fichiers de données , incluant les fichiers relatifs aux agendas et contacts — fichiers stockés sur le poste de travail, par un tiers non autorisé</t>
  </si>
  <si>
    <t xml:space="preserve">Partage au moins un service de réduction avec un scénario retenu (DBUC02, DBUC04) : bénéficie en partie des mêmes projets ; non retenu pour garder une sélection courte. Reste au niveau 3 après le plan avec des cibles à 3 : risque résiduel (onglet Risques résiduels).</t>
  </si>
  <si>
    <t xml:space="preserve">DBUC01-d</t>
  </si>
  <si>
    <t xml:space="preserve">Téléchargement, duplication ou diffusion volontaire de fichiers de données , incluant les fichiers relatifs aux agendas et contacts — lors d'une opération de maintenance</t>
  </si>
  <si>
    <t xml:space="preserve">DBUC07</t>
  </si>
  <si>
    <t xml:space="preserve">Diffusion par l'utilisateur de données sensibles , par abus de confiance (hameçonnage ou "phishing")</t>
  </si>
  <si>
    <t xml:space="preserve">Partage au moins un service de réduction avec un scénario retenu (DBUC03) : bénéficie en partie des mêmes projets ; non retenu pour garder une sélection courte. Reste au niveau 3 après le plan avec des cibles à 3 : risque résiduel (onglet Risques résiduels).</t>
  </si>
  <si>
    <t xml:space="preserve">DBUC08</t>
  </si>
  <si>
    <t xml:space="preserve">Captation de données ponctuelles par logiciel Capteur de frappe ou "Keylogger"</t>
  </si>
  <si>
    <t xml:space="preserve">Partage au moins un service de réduction avec un scénario retenu (DBUD03, DBUC04, SAPD24) : bénéficie en partie des mêmes projets ; non retenu pour garder une sélection courte. Reste au niveau 3 après le plan avec des cibles à 3 : risque résiduel (onglet Risques résiduels).</t>
  </si>
  <si>
    <t xml:space="preserve">DBUC10-a</t>
  </si>
  <si>
    <t xml:space="preserve">Vol physique ou duplication — dans les bureaux, par une personne autorisée (dont le personnel doté de droits privilégiés)</t>
  </si>
  <si>
    <t xml:space="preserve">Même événement que DBUC10-b (retenu, H-28), commis par une personne autorisée ; même levier de prévention (6B01, projet CHDB). Reste au niveau 3 après le plan avec des cibles à 3 : risque résiduel (onglet Risques résiduels).</t>
  </si>
  <si>
    <t xml:space="preserve">DEXI01</t>
  </si>
  <si>
    <t xml:space="preserve">Falsification ou altération de données</t>
  </si>
  <si>
    <t xml:space="preserve">Partage au moins un service de réduction avec un scénario retenu (DEXC01) : bénéficie en partie des mêmes projets ; non retenu pour garder une sélection courte. Reste au niveau 3 après le plan avec des cibles à 3 : risque résiduel (onglet Risques résiduels).</t>
  </si>
  <si>
    <t xml:space="preserve">DAPC01-c</t>
  </si>
  <si>
    <t xml:space="preserve">Téléchargement, duplication ou diffusion volontaire de données — lors d'une opération de maintenance</t>
  </si>
  <si>
    <t xml:space="preserve">Fuite lors d'une opération de maintenance, notamment par le prestataire qui administre le NAS (H-26). Aucun projet décidé n'agit (4A09, 5B02) : non évalué dans cette itération ; journalisation des comptes du prestataire (A11) ; projet COMA en phase 2.</t>
  </si>
  <si>
    <t xml:space="preserve">Prise d'acte ; évaluation à M6 ; projet COMA proposé en phase 2 (le ramène à 2 sur copie)</t>
  </si>
  <si>
    <t xml:space="preserve">DAPC03</t>
  </si>
  <si>
    <t xml:space="preserve">Captation de données affichées sur écran — captation visuelle d'écran applicatif</t>
  </si>
  <si>
    <t xml:space="preserve">Non évalué : ses services ne sont pas tous audités et restent au plancher du niveau 1 ; l'absence d'incident connu ne prouve pas l'absence de risque (R-05).</t>
  </si>
  <si>
    <t xml:space="preserve">DAPC05</t>
  </si>
  <si>
    <t xml:space="preserve">Diffusion involontaire de données lors de la réaffectation ou de la mise au rebut de média</t>
  </si>
  <si>
    <t xml:space="preserve">Aucun projet décidé n'agit sur ses services (4E03, 5B02) ; reste au niveau 3 après le plan : non évalué dans cette itération.</t>
  </si>
  <si>
    <t xml:space="preserve">DAPD04</t>
  </si>
  <si>
    <t xml:space="preserve">Effacement ou disparition de moyens d'accès (clés de chiffrement, jetons, fichiers ou éléments nécessaires à l'identification et à l'authentification, licences, etc.)</t>
  </si>
  <si>
    <t xml:space="preserve">DAPD07</t>
  </si>
  <si>
    <t xml:space="preserve">Effacement de données applicatives en transit</t>
  </si>
  <si>
    <t xml:space="preserve">DAPD08</t>
  </si>
  <si>
    <t xml:space="preserve">Indisponibilité de références, d’adresses ou de processus d’accès au media support de données</t>
  </si>
  <si>
    <t xml:space="preserve">DAPD13</t>
  </si>
  <si>
    <t xml:space="preserve">Absence de matériel adapté ou incompatibilité de systèmes de lecture du media</t>
  </si>
  <si>
    <t xml:space="preserve">DAPD14</t>
  </si>
  <si>
    <t xml:space="preserve">Perte ou disparition de moyens nécessaires à l'exploitation de médias (clés de chiffrement, logiciels de lecture, etc.)</t>
  </si>
  <si>
    <t xml:space="preserve">DAPI02-a</t>
  </si>
  <si>
    <t xml:space="preserve">Altération accidentelle (non détectée) de la cohérence de données — due à une erreur de procédure, lors d'une opération de maintenance (programmée ou maintenance à chaud)</t>
  </si>
  <si>
    <t xml:space="preserve">Aucun projet décidé n'agit sur ses services (4A09, 5A03, 7B09) ; reste au niveau 3 après le plan : non évalué dans cette itération.</t>
  </si>
  <si>
    <t xml:space="preserve">DAPI02-b</t>
  </si>
  <si>
    <t xml:space="preserve">Altération accidentelle (non détectée) de la cohérence de données — par erreur de procédure d'exploitation, lors de traitements</t>
  </si>
  <si>
    <t xml:space="preserve">Aucun projet décidé n'agit sur ses services (5A02, 5A03) ; reste au niveau 3 après le plan : non évalué dans cette itération.</t>
  </si>
  <si>
    <t xml:space="preserve">DAPI03-a</t>
  </si>
  <si>
    <t xml:space="preserve">Falsification ou altération de données applicatives en transit — par action volontaire commise par une personne non autorisée (après captation sur le réseau)</t>
  </si>
  <si>
    <t xml:space="preserve">DAPI03-c</t>
  </si>
  <si>
    <t xml:space="preserve">Falsification ou altération de données applicatives en transit — par rejeu de transaction, commis par une personne non autorisée</t>
  </si>
  <si>
    <t xml:space="preserve">DAPI04</t>
  </si>
  <si>
    <t xml:space="preserve">Erreur de saisie ou de frappe — lors de la saisie d'une donnée applicative</t>
  </si>
  <si>
    <t xml:space="preserve">Aucun projet décidé n'agit sur ses services (5A03, 5A04) ; reste au niveau 3 après le plan : non évalué dans cette itération.</t>
  </si>
  <si>
    <t xml:space="preserve">DBUC06</t>
  </si>
  <si>
    <t xml:space="preserve">Captation de données affichées sur écran</t>
  </si>
  <si>
    <t xml:space="preserve">DEXC02</t>
  </si>
  <si>
    <t xml:space="preserve">DEXC03</t>
  </si>
  <si>
    <t xml:space="preserve">DEXD03</t>
  </si>
  <si>
    <t xml:space="preserve">Effacement ou perte de donnée en transfert vers ou depuis le site externalisé du à une erreur de procédure, une panne transitoire d'équipement ou une erreur de transmission irrécupérable</t>
  </si>
  <si>
    <t xml:space="preserve">DEXI02</t>
  </si>
  <si>
    <t xml:space="preserve">Falsification ou altération accidentelle de données en transit, par erreur de protocole ou de codage</t>
  </si>
  <si>
    <t xml:space="preserve">DEXI03</t>
  </si>
  <si>
    <t xml:space="preserve">Falsification ou altération volontaire de données en transit (par action volontaire menée par une personne non autorisée)</t>
  </si>
  <si>
    <t xml:space="preserve">DAPC04-a</t>
  </si>
  <si>
    <t xml:space="preserve">Vol physique ou duplication de média support de données — dans les locaux de l'exploitation, par une personne autorisée (dont le personnel ayant des droits privilégiés)</t>
  </si>
  <si>
    <t xml:space="preserve">Événement physique ou environnemental : locaux non décrits dans l'énoncé, questionnaire 2 Phy non audité ; à traiter dans une itération ultérieure</t>
  </si>
  <si>
    <t xml:space="preserve">DAPC04-b</t>
  </si>
  <si>
    <t xml:space="preserve">Vol physique ou duplication de média support de données — dans les locaux de l'exploitation, par une personne non autorisée</t>
  </si>
  <si>
    <t xml:space="preserve">DAPI05-a</t>
  </si>
  <si>
    <t xml:space="preserve">Echange physique (avec un média au contenu modifié) — dans les locaux de l'exploitation, par une personne autorisée à y pénétrer (dont le personnel ayant des droits privilégiés)</t>
  </si>
  <si>
    <t xml:space="preserve">DAPI05-b</t>
  </si>
  <si>
    <t xml:space="preserve">Echange physique (avec un média au contenu modifié) — dans les locaux de l'exploitation, par ure personne non autorisée</t>
  </si>
  <si>
    <t xml:space="preserve">DBUC09</t>
  </si>
  <si>
    <t xml:space="preserve">Captation de données ponctuelles par dispositif physique Capteur de frappe ou "Keylogger"</t>
  </si>
  <si>
    <t xml:space="preserve">DBUC10-c</t>
  </si>
  <si>
    <t xml:space="preserve">Vol physique ou duplication — lors de la mise au rebut d'un media</t>
  </si>
  <si>
    <t xml:space="preserve">51 scénarios restent au niveau 3 après le plan : 13 retenus (11 en cours de réduction, 2 acceptés de RP-6) et 38 non retenus, dont 3 hors périmètre et 35 non évalués dans cette itération. Aucun n'est de niveau 4. Avec le critère proposé, les 13 retenus et 14 des non retenus seraient tolérés sous surveillance ; les 24 autres (impact 3, potentialité 3) restent à évaluer en priorité à M6.</t>
  </si>
  <si>
    <t xml:space="preserve">Feuille de route — plan de traitement (modèle §7, p.5–6) et tableau de pilotage</t>
  </si>
  <si>
    <t xml:space="preserve">Chaque action est reliée à des risques, des scénarios, des services MEHARI et des mesures ISO 27002:2022 (étape 27). Planning en mois après validation (M0). 19 actions, 6 lots, 12 projets MEHARI décidés, phase 2 en note.</t>
  </si>
  <si>
    <t xml:space="preserve">M0 (validation du plan, hypothèse)</t>
  </si>
  <si>
    <t xml:space="preserve">Lot (projet de pilotage)</t>
  </si>
  <si>
    <t xml:space="preserve">Action (mesure précise)</t>
  </si>
  <si>
    <t xml:space="preserve">Risques concernés</t>
  </si>
  <si>
    <t xml:space="preserve">Scénarios</t>
  </si>
  <si>
    <t xml:space="preserve">Services MEHARI à améliorer</t>
  </si>
  <si>
    <t xml:space="preserve">Projet MEHARI</t>
  </si>
  <si>
    <t xml:space="preserve">Responsable</t>
  </si>
  <si>
    <t xml:space="preserve">Priorité</t>
  </si>
  <si>
    <t xml:space="preserve">Charge / coût (niveau — jours-homme ; coût externe estimé)</t>
  </si>
  <si>
    <t xml:space="preserve">Début (mois)</t>
  </si>
  <si>
    <t xml:space="preserve">Échéance (mois)</t>
  </si>
  <si>
    <t xml:space="preserve">Début indicatif</t>
  </si>
  <si>
    <t xml:space="preserve">Échéance indicative</t>
  </si>
  <si>
    <t xml:space="preserve">Dépendances / prérequis</t>
  </si>
  <si>
    <t xml:space="preserve">Indicateur de réalisation</t>
  </si>
  <si>
    <t xml:space="preserve">Indicateur d'efficacité (réévaluation)</t>
  </si>
  <si>
    <t xml:space="preserve">Source</t>
  </si>
  <si>
    <t xml:space="preserve">M1</t>
  </si>
  <si>
    <t xml:space="preserve">M2</t>
  </si>
  <si>
    <t xml:space="preserve">M3</t>
  </si>
  <si>
    <t xml:space="preserve">M4</t>
  </si>
  <si>
    <t xml:space="preserve">M5</t>
  </si>
  <si>
    <t xml:space="preserve">M7</t>
  </si>
  <si>
    <t xml:space="preserve">M8</t>
  </si>
  <si>
    <t xml:space="preserve">M9</t>
  </si>
  <si>
    <t xml:space="preserve">M10</t>
  </si>
  <si>
    <t xml:space="preserve">M11</t>
  </si>
  <si>
    <t xml:space="preserve">M12</t>
  </si>
  <si>
    <t xml:space="preserve">A01</t>
  </si>
  <si>
    <t xml:space="preserve">L1 Identités et accès</t>
  </si>
  <si>
    <t xml:space="preserve">Inventorier les comptes et leurs droits, application par application (LMS, messagerie, stockage cloud, CRM, facturation, NAS, serveurs virtuels) : comptes à privilèges, comptes formateurs, comptes génériques.</t>
  </si>
  <si>
    <t xml:space="preserve">RP-2, RP-6</t>
  </si>
  <si>
    <t xml:space="preserve">DAPC01-b, DAPI01-a, DAPC01-a, DAPI01-b, DAPD03</t>
  </si>
  <si>
    <t xml:space="preserve">3A06 (3A06-01, -05) ; 3A02 (3A02-13) · ISO 27002 : 5.15, 5.16, 5.18</t>
  </si>
  <si>
    <t xml:space="preserve">CASA</t>
  </si>
  <si>
    <t xml:space="preserve">Responsable IT</t>
  </si>
  <si>
    <t xml:space="preserve">P1</t>
  </si>
  <si>
    <t xml:space="preserve">Faible — 3 j·h ; 0 €</t>
  </si>
  <si>
    <t xml:space="preserve">Aucune. Prérequis de A02, A10, A11.</t>
  </si>
  <si>
    <t xml:space="preserve">Inventaire daté couvrant 100 % des applications du périmètre.</t>
  </si>
  <si>
    <t xml:space="preserve">Nombre de comptes génériques ou sans titulaire identifié (cible : 0 à M3).</t>
  </si>
  <si>
    <t xml:space="preserve">À lancer</t>
  </si>
  <si>
    <t xml:space="preserve">H-06, M-04 ; énoncé p.2</t>
  </si>
  <si>
    <t xml:space="preserve">A02</t>
  </si>
  <si>
    <t xml:space="preserve">Activer l'authentification multifacteur (MFA) pour les comptes à privilèges et les accès distants, VPN compris (M1), puis pour tous les comptes des services cloud, formateurs compris (M2).</t>
  </si>
  <si>
    <t xml:space="preserve">RP-2, RP-5</t>
  </si>
  <si>
    <t xml:space="preserve">DAPC01-b, DAPI01-a, DEXC01</t>
  </si>
  <si>
    <t xml:space="preserve">3A07 (3A07-01) ; 3A03 (3A03-01) ; 3A09 (3A09-02) · ISO 27002 : 5.17, 8.5</t>
  </si>
  <si>
    <t xml:space="preserve">CASA, CASE</t>
  </si>
  <si>
    <t xml:space="preserve">Faible — 3 j·h ; 0 € si les licences SaaS incluent le MFA et l'accès conditionnel (H-09), sinon environ 3 à 6 € par utilisateur et par mois</t>
  </si>
  <si>
    <t xml:space="preserve">A01. Coût faible si le MFA est inclus dans les abonnements SaaS (hypothèse à vérifier, M-01).</t>
  </si>
  <si>
    <t xml:space="preserve">100 % des comptes concernés enrôlés.</t>
  </si>
  <si>
    <t xml:space="preserve">3A07 ≥ 3 à la réévaluation M6.</t>
  </si>
  <si>
    <t xml:space="preserve">Énoncé §7 (MFA, P1, Mois 1) ; H-01</t>
  </si>
  <si>
    <t xml:space="preserve">A03</t>
  </si>
  <si>
    <t xml:space="preserve">L2 Postes, messagerie et réseau</t>
  </si>
  <si>
    <t xml:space="preserve">Écrire une procédure anti-hameçonnage (signalement des messages suspects, escalade obligatoire en cas de doute), désigner un point de collecte des messages signalés, sensibiliser 100 % des salariés et formateurs puis faire des rappels réguliers.</t>
  </si>
  <si>
    <t xml:space="preserve">RP-2, RP-1</t>
  </si>
  <si>
    <t xml:space="preserve">DBUC03, DBUC04, DBUD03, SAPD24</t>
  </si>
  <si>
    <t xml:space="preserve">1C06 (1C06-01, -03, -04, -05) ; 6B03 (6B03-08) ; 1C03 (sensibilisation) · ISO 27002 : 6.3, 6.8</t>
  </si>
  <si>
    <t xml:space="preserve">PMAL, SMEL</t>
  </si>
  <si>
    <t xml:space="preserve">Direction (pilotage) ; Responsable IT (contenu)</t>
  </si>
  <si>
    <t xml:space="preserve">Faible — 3 j·h ; 0 à 1 k€ (campagne simulée)</t>
  </si>
  <si>
    <t xml:space="preserve">Aucune.</t>
  </si>
  <si>
    <t xml:space="preserve">Procédure diffusée ; part du personnel sensibilisé (cible 100 %).</t>
  </si>
  <si>
    <t xml:space="preserve">1C06 ≥ 3 à M6 ; taux de clic lors d'une campagne d'hameçonnage simulée (cible inférieure à 10 % à M6) ; nombre de messages suspects signalés.</t>
  </si>
  <si>
    <t xml:space="preserve">Énoncé p.2 et §7 (sensibilisation ciblée)</t>
  </si>
  <si>
    <t xml:space="preserve">A04</t>
  </si>
  <si>
    <t xml:space="preserve">Vérifier ou déployer une protection anti-malware à jour sur tous les postes, le NAS et les serveurs virtuels ; appliquer systématiquement les correctifs de sécurité ; définir les actions à mener en cas d'infection.</t>
  </si>
  <si>
    <t xml:space="preserve">4A02 (4A02-01, -03, -04, -05) ; 4A06 (vulnérabilités, correctifs) · ISO 27002 : 8.7, 8.8</t>
  </si>
  <si>
    <t xml:space="preserve">PMAL</t>
  </si>
  <si>
    <t xml:space="preserve">Responsable IT / Exploitation</t>
  </si>
  <si>
    <t xml:space="preserve">Moyen — 5 j·h prestataire (≈ 3,5 k€) ; 0 à 1,5 k€/an (console antivirus)</t>
  </si>
  <si>
    <t xml:space="preserve">A13 (vérification d'urgence) ; inventaire des postes (M-11).</t>
  </si>
  <si>
    <t xml:space="preserve">Part des équipements protégés et à jour (cible 100 %).</t>
  </si>
  <si>
    <t xml:space="preserve">4A02 ≥ 3 à M6 ; DBUC04 ≤ 2 dans le classeur réévalué.</t>
  </si>
  <si>
    <t xml:space="preserve">Guide p.16 (niveau 4 : mesures d'urgence)</t>
  </si>
  <si>
    <t xml:space="preserve">A05</t>
  </si>
  <si>
    <t xml:space="preserve">L3 Sauvegarde et reprise</t>
  </si>
  <si>
    <t xml:space="preserve">Formaliser le plan de sauvegarde (données, configurations, postes, copie hors site et hors ligne), réaliser un test de restauration documenté, puis un test par trimestre.</t>
  </si>
  <si>
    <t xml:space="preserve">RP-3, RP-1</t>
  </si>
  <si>
    <t xml:space="preserve">DAPD02, DBUD03, SAPD24</t>
  </si>
  <si>
    <t xml:space="preserve">4A03 (4A03-02, -09, -11, -14, -15) ; 6B04 ; 6B07 · ISO 27002 : 8.13</t>
  </si>
  <si>
    <t xml:space="preserve">SADC</t>
  </si>
  <si>
    <t xml:space="preserve">Exploitation</t>
  </si>
  <si>
    <t xml:space="preserve">Moyen — 5 j·h prestataire (≈ 3,5 k€) ; 0,5 à 1,5 k€ (supports, stockage hors site)</t>
  </si>
  <si>
    <t xml:space="preserve">Politique actuelle de sauvegarde (M-05) ; durée d'interruption tolérable (M-07).</t>
  </si>
  <si>
    <t xml:space="preserve">Plan écrit ; test de restauration documenté ; objectifs de reprise atteints : perte de données de 24 h au plus, NAS et outils internes restaurés en 1 jour ouvré (H-31).</t>
  </si>
  <si>
    <t xml:space="preserve">4A03 ≥ 3 à M6 ; un test réussi par trimestre ; durée réelle de restauration mesurée et comparée à l'objectif (H-31).</t>
  </si>
  <si>
    <t xml:space="preserve">Énoncé §7 (test de restauration, P1, Mois 2) ; H-02</t>
  </si>
  <si>
    <t xml:space="preserve">A06</t>
  </si>
  <si>
    <t xml:space="preserve">Mettre en place une copie quotidienne des données cloud (LMS, CRM, facturation, stockage collaboratif) indépendante du prestataire, avec tests de relecture trimestriels ; vérifier les clauses de réversibilité et de format des contrats, y compris en cas de disparition du prestataire (SEXD01).</t>
  </si>
  <si>
    <t xml:space="preserve">RP-3, RP-4</t>
  </si>
  <si>
    <t xml:space="preserve">DEXD01</t>
  </si>
  <si>
    <t xml:space="preserve">4A04 (4A04-02, -03, -05, -09) ; 3C01 ; 1F01 à 1F04 (fournisseurs, contrats) · ISO 27002 : 8.13, 5.23</t>
  </si>
  <si>
    <t xml:space="preserve">DIDE</t>
  </si>
  <si>
    <t xml:space="preserve">Exploitation (copie) ; Direction (contrats)</t>
  </si>
  <si>
    <t xml:space="preserve">P2</t>
  </si>
  <si>
    <t xml:space="preserve">Moyen — 3 j·h prestataire (≈ 2,1 k€) ; 1 à 3 k€/an (outil de sauvegarde SaaS)</t>
  </si>
  <si>
    <t xml:space="preserve">Liste des services cloud (M-01) ; contrats (M-10).</t>
  </si>
  <si>
    <t xml:space="preserve">Copie indépendante quotidienne pour 100 % des services cloud identifiés (perte de données de 24 h au plus, H-31) ; contrats relus.</t>
  </si>
  <si>
    <t xml:space="preserve">4A04 ≥ 3 à M6.</t>
  </si>
  <si>
    <t xml:space="preserve">H-02 ; M-10</t>
  </si>
  <si>
    <t xml:space="preserve">A07</t>
  </si>
  <si>
    <t xml:space="preserve">L4 Services cloud</t>
  </si>
  <si>
    <t xml:space="preserve">Pour le LMS, la visioconférence et la messagerie : analyser la criticité et la durée d'interruption tolérable, écrire une procédure de contournement (mode dégradé), relever les engagements de service des contrats, tester une fois par an.</t>
  </si>
  <si>
    <t xml:space="preserve">SEXD02 (SEXD01 regroupé), CEPD02</t>
  </si>
  <si>
    <t xml:space="preserve">5D02 (5D02-01 à -06) ; 4C04 ; 6A03 · ISO 27002 : 5.23, 5.30</t>
  </si>
  <si>
    <t xml:space="preserve">Direction ; Responsable IT</t>
  </si>
  <si>
    <t xml:space="preserve">Moyen — 5 j·h ; 0 €</t>
  </si>
  <si>
    <t xml:space="preserve">M-07 ; M-10 ; A06 pour la récupération des données (5D02-04).</t>
  </si>
  <si>
    <t xml:space="preserve">Procédure de contournement documentée et testée pour chaque service critique ; mode dégradé activé en moins de 4 heures (H-31).</t>
  </si>
  <si>
    <t xml:space="preserve">5D02 ≥ 3 à M6.</t>
  </si>
  <si>
    <t xml:space="preserve">Énoncé §7, R-03 (PCA, contournement, engagements contractuels, tests)</t>
  </si>
  <si>
    <t xml:space="preserve">A08</t>
  </si>
  <si>
    <t xml:space="preserve">Revoir les règles de partage des espaces collaboratifs : liens publics désactivés par défaut, partage externe limité aux cas justifiés, revue trimestrielle des partages.</t>
  </si>
  <si>
    <t xml:space="preserve">6B03 (6B03-04) · ISO 27002 : 5.10, 5.14</t>
  </si>
  <si>
    <t xml:space="preserve">— (non modélisé, R-23)</t>
  </si>
  <si>
    <t xml:space="preserve">Référent SSI ; Responsable IT</t>
  </si>
  <si>
    <t xml:space="preserve">Faible — 2 j·h ; 0 €</t>
  </si>
  <si>
    <t xml:space="preserve">Classification des données (T1, faite).</t>
  </si>
  <si>
    <t xml:space="preserve">Aucun lien public non justifié ; revue trimestrielle.</t>
  </si>
  <si>
    <t xml:space="preserve">Nombre de liens publics actifs non justifiés (cible 0) ; effet estimé hors classeur : DEXC01 et DBUC02 à 2 (R-23).</t>
  </si>
  <si>
    <t xml:space="preserve">Énoncé §7 (règles de partage, P2, Mois 2) ; H-27, O-15</t>
  </si>
  <si>
    <t xml:space="preserve">A09</t>
  </si>
  <si>
    <t xml:space="preserve">Chiffrer les disques des postes portables avec le chiffrement intégré au système, et les pièces jointes contenant des données sensibles.</t>
  </si>
  <si>
    <t xml:space="preserve">RP-7, RP-1, RP-5</t>
  </si>
  <si>
    <t xml:space="preserve">DBUC10-b (vol ou perte de portable) ; DBUC04, DBUC02 (formules MEHARI)</t>
  </si>
  <si>
    <t xml:space="preserve">6B01 (6B01-01, -05) · ISO 27002 : 8.1, 8.24</t>
  </si>
  <si>
    <t xml:space="preserve">CHDB</t>
  </si>
  <si>
    <t xml:space="preserve">Faible — 3 j·h ; 0 € (chiffrement intégré)</t>
  </si>
  <si>
    <t xml:space="preserve">Inventaire des postes (M-11).</t>
  </si>
  <si>
    <t xml:space="preserve">Part des postes portables chiffrés (cible 100 %).</t>
  </si>
  <si>
    <t xml:space="preserve">6B01 ≥ 3 à la réévaluation.</t>
  </si>
  <si>
    <t xml:space="preserve">H-28 (formule de prévention de DBUC10-b) ; H-08 (coût faible : outil déjà en place)</t>
  </si>
  <si>
    <t xml:space="preserve">A10</t>
  </si>
  <si>
    <t xml:space="preserve">Adopter une politique de gestion des accès et des départs : attribution nominative validée, retrait des droits au départ ou au changement de poste, désactivation des comptes apprenants à la fin de chaque formation, revue trimestrielle des droits privilégiés et annuelle des autres droits.</t>
  </si>
  <si>
    <t xml:space="preserve">RP-6, RP-2, RP-5</t>
  </si>
  <si>
    <t xml:space="preserve">DAPC01-a, DAPI01-b, DAPC01-b, DEXC01</t>
  </si>
  <si>
    <t xml:space="preserve">3A02 (3A02-06, -07, -11, -14) ; 3A06 (3A06-09, -11) ; 1C05 (cessation de fonction) · ISO 27002 : 5.15, 5.18</t>
  </si>
  <si>
    <t xml:space="preserve">Direction / RH / IT</t>
  </si>
  <si>
    <t xml:space="preserve">A01.</t>
  </si>
  <si>
    <t xml:space="preserve">Processus validé et contrôles d'échantillon conformes.</t>
  </si>
  <si>
    <t xml:space="preserve">Aucun compte actif d'une personne partie ; aucun compte apprenant actif après la fin de sa session ; 3A02 et 3A06 ≥ 3 à M6.</t>
  </si>
  <si>
    <t xml:space="preserve">Énoncé §7 (politique d'accès et départs, P2, Mois 3) ; H-21, H-22</t>
  </si>
  <si>
    <t xml:space="preserve">A11</t>
  </si>
  <si>
    <t xml:space="preserve">Journaliser les actions faites avec des droits privilégiés (consoles d'administration SaaS, NAS, serveurs virtuels), y compris celles du prestataire d'exploitation, conserver les journaux et en présenter une synthèse mensuelle à la hiérarchie.</t>
  </si>
  <si>
    <t xml:space="preserve">3A08 (3A08-02, -03, -05) ; 4A11 · ISO 27002 : 8.2, 8.15, 8.16</t>
  </si>
  <si>
    <t xml:space="preserve">Responsable IT (mise en place) ; Direction (revue)</t>
  </si>
  <si>
    <t xml:space="preserve">Moyen — 5 j·h ; 0 à 1 k€/an (stockage des journaux)</t>
  </si>
  <si>
    <t xml:space="preserve">Journaux actifs pour 100 % des comptes privilégiés inventoriés ; revue mensuelle tracée.</t>
  </si>
  <si>
    <t xml:space="preserve">3A08 ≥ 3 à M6.</t>
  </si>
  <si>
    <t xml:space="preserve">Condition de l'acceptation temporaire de RP-6</t>
  </si>
  <si>
    <t xml:space="preserve">A12</t>
  </si>
  <si>
    <t xml:space="preserve">L5 Gouvernance SSI</t>
  </si>
  <si>
    <t xml:space="preserve">Désigner un référent SSI, qui porte aussi la conformité ; faire valider par la direction la grille d'acceptabilité et le critère proposé (H-34), la dérogation de RP-6 et la prise d'acte des scénarios non évalués ; confirmer les hypothèses du journal ; réévaluer les questionnaires et la gravité à M6, en étendant le diagnostic ; décider la phase 2.</t>
  </si>
  <si>
    <t xml:space="preserve">Tous</t>
  </si>
  <si>
    <t xml:space="preserve">Les 20 retenus</t>
  </si>
  <si>
    <t xml:space="preserve">1B01 (organisation de la SSI) ; prépare 8A01 · ISO 27002 : 5.2, 5.4</t>
  </si>
  <si>
    <t xml:space="preserve">Moyen — 15 j·h sur 6 mois (pilotage de 19 actions, validation des hypothèses, réévaluation MEHARI à M6) ; 0 €</t>
  </si>
  <si>
    <t xml:space="preserve">Décisions formalisées (M1) ; réévaluation faite (M6).</t>
  </si>
  <si>
    <t xml:space="preserve">Scénarios retenus inacceptables : 19 aujourd'hui ; 13 à M6 (objectif, cibles à 3) ; 2 à terme (cibles à 4).</t>
  </si>
  <si>
    <t xml:space="preserve">M-09, M-12 ; guide p.41 (validation de la grille) ; O-18</t>
  </si>
  <si>
    <t xml:space="preserve">A13</t>
  </si>
  <si>
    <t xml:space="preserve">L0 Mesures d'urgence</t>
  </si>
  <si>
    <t xml:space="preserve">Mesures d'urgence, semaines 1 et 2 du mois 1 : vérifier que l'antivirus est actif et à jour sur 100 % des postes, du NAS et des serveurs virtuels ; faire une première copie hors ligne des données du NAS et des outils internes (support déconnecté) et restaurer un fichier pour la tester.</t>
  </si>
  <si>
    <t xml:space="preserve">RP-1, RP-3</t>
  </si>
  <si>
    <t xml:space="preserve">DBUC04, DBUD03, SAPD24, DAPD02</t>
  </si>
  <si>
    <t xml:space="preserve">4A02 (4A02-01, -05) ; 4A03 (4A03-14) · ISO 27002 : 8.7, 8.13</t>
  </si>
  <si>
    <t xml:space="preserve">PMAL, SADC</t>
  </si>
  <si>
    <t xml:space="preserve">Responsable IT ; Exploitation</t>
  </si>
  <si>
    <t xml:space="preserve">Faible — 2 j·h, dont 1 prestataire (≈ 0,7 k€) ; 0,1 k€ (disque externe)</t>
  </si>
  <si>
    <t xml:space="preserve">Rapport de vérification daté (fin de semaine 2) ; copie hors ligne réalisée et testée.</t>
  </si>
  <si>
    <t xml:space="preserve">Aucun équipement sans protection active ; restauration d'essai réussie.</t>
  </si>
  <si>
    <t xml:space="preserve">Guide p.16 (niveau 4 : mesures d'urgence hors cycle budgétaire) ; H-16, H-19</t>
  </si>
  <si>
    <t xml:space="preserve">A14</t>
  </si>
  <si>
    <t xml:space="preserve">Écrire la procédure de réponse aux incidents : qui alerter, cellule de crise (direction, responsable IT, prestataire), premiers gestes (isoler un poste, changer les mots de passe), notification à la CNIL sous 72 h et information des personnes concernées en cas de violation de données personnelles (RGPD, art. 33 et 34) ; exercice sur table avant la fin du mois 2.</t>
  </si>
  <si>
    <t xml:space="preserve">RP-1, RP-2, RP-5, RP-7</t>
  </si>
  <si>
    <t xml:space="preserve">DBUC04, DBUC03, DAPC01-b, DBUC02, DEXC01</t>
  </si>
  <si>
    <t xml:space="preserve">4D02 (gestion des incidents : présent dans la base, sans effet sur les scénarios retenus) ; 4A02 (4A02-07, cellule de crise) · ISO 27002 : 5.24, 5.25, 5.26, 6.8</t>
  </si>
  <si>
    <t xml:space="preserve">Procédure validée et diffusée ; exercice sur table réalisé.</t>
  </si>
  <si>
    <t xml:space="preserve">Lors de l'exercice : incident qualifié et décision de notification prise en moins de 72 h.</t>
  </si>
  <si>
    <t xml:space="preserve">H-26 ; RGPD art. 33 et 34 ; relecture (absence de réponse à incident)</t>
  </si>
  <si>
    <t xml:space="preserve">A15</t>
  </si>
  <si>
    <t xml:space="preserve">Chiffrer les échanges sur le réseau local : accès au NAS uniquement par un flux chiffré (chiffrement du partage ou VPN) ; séparer le Wi-Fi des apprenants du réseau interne (après vérification de H-20).</t>
  </si>
  <si>
    <t xml:space="preserve">5B01 (5B01-01 à -04) ; 1B05 · ISO 27002 : 8.20, 8.22, 8.24</t>
  </si>
  <si>
    <t xml:space="preserve">CHED</t>
  </si>
  <si>
    <t xml:space="preserve">Responsable IT ; prestataire réseau</t>
  </si>
  <si>
    <t xml:space="preserve">Faible — 3 j·h prestataire (≈ 2,1 k€) ; 0 à 0,5 k€ (Wi-Fi séparé)</t>
  </si>
  <si>
    <t xml:space="preserve">Inventaire des partages du NAS ; accès à la configuration du routeur (prestataire).</t>
  </si>
  <si>
    <t xml:space="preserve">Wi-Fi des apprenants isolé du réseau interne (test documenté) ; 100 % des partages du NAS accessibles uniquement par un flux chiffré.</t>
  </si>
  <si>
    <t xml:space="preserve">5B01 ≥ 3 à M6 ; DBUC05 ≤ 2 dans le classeur réévalué.</t>
  </si>
  <si>
    <t xml:space="preserve">H-20 ; projet CHED</t>
  </si>
  <si>
    <t xml:space="preserve">A16</t>
  </si>
  <si>
    <t xml:space="preserve">Encadrer les ordinateurs personnels des formateurs extérieurs : charte signée, accès aux services uniquement par le navigateur, interdiction d'enregistrer localement des données d'apprenants, désactivation des comptes en fin de mission.</t>
  </si>
  <si>
    <t xml:space="preserve">6C02 (6C02-01 à -05) · ISO 27002 : 6.7, 8.1</t>
  </si>
  <si>
    <t xml:space="preserve">SAMP</t>
  </si>
  <si>
    <t xml:space="preserve">Direction / RH ; Responsable IT</t>
  </si>
  <si>
    <t xml:space="preserve">A01 (inventaire des comptes formateurs).</t>
  </si>
  <si>
    <t xml:space="preserve">100 % des formateurs extérieurs ont signé la charte ; accès limités au navigateur.</t>
  </si>
  <si>
    <t xml:space="preserve">6C02 ≥ 3 à M6 ; aucune donnée d'apprenant trouvée hors des services d'AFN lors d'un contrôle par échantillon.</t>
  </si>
  <si>
    <t xml:space="preserve">H-21 ; projet SAMP</t>
  </si>
  <si>
    <t xml:space="preserve">A17</t>
  </si>
  <si>
    <t xml:space="preserve">Étudier une assurance cyber : deux devis comparables ; garanties (rançongiciel, violation de données, frais de notification et de reconstitution, perte d'exploitation) ; conditions d'éligibilité, souvent le MFA et des sauvegardes hors ligne ; décision formalisée de la direction.</t>
  </si>
  <si>
    <t xml:space="preserve">RP-1, RP-2, RP-4</t>
  </si>
  <si>
    <t xml:space="preserve">ISO 27002 : — (transfert)</t>
  </si>
  <si>
    <t xml:space="preserve">— (transfert)</t>
  </si>
  <si>
    <t xml:space="preserve">Moyen — 2 j·h ; 2 à 5 k€/an (prime, si souscrite)</t>
  </si>
  <si>
    <t xml:space="preserve">A02 et A05 (conditions d'éligibilité habituelles).</t>
  </si>
  <si>
    <t xml:space="preserve">Deux devis reçus ; décision signée (souscrire ou non).</t>
  </si>
  <si>
    <t xml:space="preserve">Franchise et plafonds adaptés aux scénarios de RP-1 ; revue annuelle.</t>
  </si>
  <si>
    <t xml:space="preserve">Option « transférer » (étape 22) ; relecture</t>
  </si>
  <si>
    <t xml:space="preserve">Authentifier les courriels d'AFN : publier et contrôler SPF, DKIM et DMARC sur le domaine (politique de quarantaine puis de rejet) ; règle interne : tout changement de coordonnées bancaires, reçu ou envoyé, est vérifié par téléphone à un numéro connu.</t>
  </si>
  <si>
    <t xml:space="preserve">6B03 (6B03-01 à -09) · ISO 27002 : 5.14</t>
  </si>
  <si>
    <t xml:space="preserve">Responsable IT ; Direction administrative et financière</t>
  </si>
  <si>
    <t xml:space="preserve">Accès à la configuration DNS du domaine (prestataire ou hébergeur).</t>
  </si>
  <si>
    <t xml:space="preserve">SPF, DKIM et DMARC publiés et vérifiés par un outil de test ; règle de vérification des RIB diffusée au service comptable.</t>
  </si>
  <si>
    <t xml:space="preserve">6B03 ≥ 3 à M6 ; rapports DMARC sans envoi frauduleux accepté ; aucun paiement détourné.</t>
  </si>
  <si>
    <t xml:space="preserve">H-30, J-11 ; projet SMEL</t>
  </si>
  <si>
    <t xml:space="preserve">A19</t>
  </si>
  <si>
    <t xml:space="preserve">Mettre en conformité : tenir le registre des traitements (RGPD, art. 30) ; encadrer les éditeurs SaaS comme sous-traitants (art. 28) et vérifier les transferts hors UE ; fixer des durées de conservation, dont la désactivation et la suppression des comptes d'apprenants sortis (minimisation, H-22) ; relever les obligations des financeurs et de Qualiopi ; vérifier le statut d'AFN au regard de NIS2 (H-35).</t>
  </si>
  <si>
    <t xml:space="preserve">Hors RP (PGCE01)</t>
  </si>
  <si>
    <t xml:space="preserve">PGCE01</t>
  </si>
  <si>
    <t xml:space="preserve">8A01 ; 8A02 ; 8A03 · ISO 27002 : 5.31, 5.34, 5.36</t>
  </si>
  <si>
    <t xml:space="preserve">CPEX</t>
  </si>
  <si>
    <t xml:space="preserve">Direction ; Référent SSI</t>
  </si>
  <si>
    <t xml:space="preserve">A12 (référent SSI) ; contrats des financeurs.</t>
  </si>
  <si>
    <t xml:space="preserve">Registre des traitements à jour ; liste des obligations validée par la direction.</t>
  </si>
  <si>
    <t xml:space="preserve">8A01 ≥ 3 à M6 ; PGCE01 au niveau 1 dans le classeur réévalué.</t>
  </si>
  <si>
    <t xml:space="preserve">Énoncé p.2, étape 8 (non-conformité) ; RGPD art. 30 ; projet CPEX</t>
  </si>
  <si>
    <t xml:space="preserve">Lots</t>
  </si>
  <si>
    <t xml:space="preserve">actions</t>
  </si>
  <si>
    <t xml:space="preserve">Projets MEHARI : PMAL, SADC (vérification d'urgence)</t>
  </si>
  <si>
    <t xml:space="preserve">Projets MEHARI : CASA, CASE, SUAI</t>
  </si>
  <si>
    <t xml:space="preserve">Projets MEHARI : PMAL, SMEL (6B03), CHDB, CHED, SAMP</t>
  </si>
  <si>
    <t xml:space="preserve">Projets MEHARI : SADC, DIDE</t>
  </si>
  <si>
    <t xml:space="preserve">Projets MEHARI : PSSE, SMEL (6A03) ; A08 hors classeur</t>
  </si>
  <si>
    <t xml:space="preserve">Projet MEHARI CPEX (A19) ; pilotage, réponse à incident, assurance</t>
  </si>
  <si>
    <t xml:space="preserve">Répartition</t>
  </si>
  <si>
    <t xml:space="preserve">Priorité P1</t>
  </si>
  <si>
    <t xml:space="preserve">Priorité P2</t>
  </si>
  <si>
    <t xml:space="preserve">Priorité P3</t>
  </si>
  <si>
    <t xml:space="preserve">Charge Faible</t>
  </si>
  <si>
    <t xml:space="preserve">Charge Moyen</t>
  </si>
  <si>
    <t xml:space="preserve">Charge Élevé</t>
  </si>
  <si>
    <t xml:space="preserve">Charge totale estimée (j·h)</t>
  </si>
  <si>
    <t xml:space="preserve">dont actions P1, mois 1–2 (j·h)</t>
  </si>
  <si>
    <t xml:space="preserve">Point de vigilance : 8 actions P1 sur les deux premiers mois, environ 39 jours-homme : 11 pour le prestataire (A04, A05, A13), 15 de pilotage étalés sur six mois (A12) et environ 13 jours-homme internes sur deux mois, soit 1,5 jour par semaine partagé entre le responsable IT à temps partiel et la direction (A03, A14). Total du plan : 74 jours-homme, dont 17 jours de prestataire (≈ 12 k€ à 700 € par jour) et 57 jours internes (≈ 20 k€ à 350 € chargés par jour, coût d'opportunité, H-08). Coût externe estimé la première année : environ 16 à 26 k€, dont 3 à 11 k€ récurrents (abonnements, assurance si souscrite), hors licences MFA si elles ne sont pas incluses. Si une seule personne porte ces rôles, étaler A04 et A05 jusqu'au mois 3, sans décaler A13. Le planning est au mois : A13 occupe les semaines 1 et 2 du mois 1.</t>
  </si>
  <si>
    <t xml:space="preserve">Phase 2 (mois 7 à 12, décision et chiffrage à la réévaluation de M6, non budgétée ici) : PIDA, intégrité des données applicatives (mois 7 à 9 ; sortie de l'acceptation de DAPI01-b) ; CHDA, chiffrement des données applicatives (selon les éditeurs) ; PCDE, confidentialité des données externalisées (après A02 et A08) ; SUBU, surveillance des bureaux ; COMA, contrôle des opérations de maintenance du prestataire (DAPC01-c). Les quatre premiers sont ceux que propose Sel_Projets avec des cibles à 3.</t>
  </si>
  <si>
    <t xml:space="preserve">Scénarios retenus (20) — étape 19 : quel actif ? quel événement ou acteur ? quelle conséquence métier ?</t>
  </si>
  <si>
    <t xml:space="preserve">Libellés, I/P/G et formules de mesures repris de la feuille Scénarios du classeur. Colonnes E à G : rédaction de l'équipe à partir de T1/T2 et de l'énoncé.</t>
  </si>
  <si>
    <t xml:space="preserve">Réf. scénario</t>
  </si>
  <si>
    <t xml:space="preserve">Risque prioritaire</t>
  </si>
  <si>
    <t xml:space="preserve">Libellé MEHARI (col. G–H)</t>
  </si>
  <si>
    <t xml:space="preserve">Type d'actif MEHARI (col. B, D)</t>
  </si>
  <si>
    <t xml:space="preserve">Actif ou processus AFN touché</t>
  </si>
  <si>
    <t xml:space="preserve">Événement ou acteur</t>
  </si>
  <si>
    <t xml:space="preserve">Conséquence métier redoutée</t>
  </si>
  <si>
    <t xml:space="preserve">Critère</t>
  </si>
  <si>
    <t xml:space="preserve">Impact intrinsèque (L)</t>
  </si>
  <si>
    <t xml:space="preserve">Exposition (M)</t>
  </si>
  <si>
    <t xml:space="preserve">Gravité intrinsèque (P)</t>
  </si>
  <si>
    <t xml:space="preserve">I actuel (X)</t>
  </si>
  <si>
    <t xml:space="preserve">P actuelle (Y)</t>
  </si>
  <si>
    <t xml:space="preserve">Gravité actuelle (Z)</t>
  </si>
  <si>
    <t xml:space="preserve">I après plan (cibles à 3)</t>
  </si>
  <si>
    <t xml:space="preserve">P après plan (cibles à 3)</t>
  </si>
  <si>
    <t xml:space="preserve">Gravité après plan (cibles à 3)</t>
  </si>
  <si>
    <t xml:space="preserve">Gravité à terme (cibles à 4)</t>
  </si>
  <si>
    <t xml:space="preserve">Services de réduction (formules MEHARI, col. AC–AF)</t>
  </si>
  <si>
    <t xml:space="preserve">Projets du plan</t>
  </si>
  <si>
    <t xml:space="preserve">Décision col. AA</t>
  </si>
  <si>
    <t xml:space="preserve">Lien énoncé / journal</t>
  </si>
  <si>
    <t xml:space="preserve">D02 — Fichier ou base de données</t>
  </si>
  <si>
    <t xml:space="preserve">Fichiers bureautiques sur le NAS et les postes (T1 domaines 6 et 9, C = 3)</t>
  </si>
  <si>
    <t xml:space="preserve">Logiciel malveillant, dont rançongiciel à double extorsion (IF.L.Vir) ; exposition naturelle 4 (valeur standard)</t>
  </si>
  <si>
    <t xml:space="preserve">Fuite (exfiltration) de données RH et personnelles par le logiciel malveillant : volet confidentialité de RP-1, seul scénario de niveau 4</t>
  </si>
  <si>
    <t xml:space="preserve">C</t>
  </si>
  <si>
    <t xml:space="preserve">Prév. : max(4A02,6B01)</t>
  </si>
  <si>
    <t xml:space="preserve">PMAL, CHDB</t>
  </si>
  <si>
    <t xml:space="preserve">Seul scénario de niveau 4 de la base ; périmètre « postes de travail » (énoncé p.2)</t>
  </si>
  <si>
    <t xml:space="preserve">DBUD03</t>
  </si>
  <si>
    <t xml:space="preserve">Effacement de fichiers de données par un virus ou un logiciel malveillant (sur un serveur de données partagées ou sur le poste de travail)</t>
  </si>
  <si>
    <t xml:space="preserve">Fichiers bureautiques partagés (NAS) et fichiers des postes (D02, D = 2)</t>
  </si>
  <si>
    <t xml:space="preserve">Virus ou logiciel malveillant (IF.L.Vir) ; exposition naturelle 4</t>
  </si>
  <si>
    <t xml:space="preserve">Fichiers effacés : travail administratif à reconstituer</t>
  </si>
  <si>
    <t xml:space="preserve">D</t>
  </si>
  <si>
    <t xml:space="preserve">Prév. : 4A02; Pall. : min(4A03,6B04)</t>
  </si>
  <si>
    <t xml:space="preserve">Périmètre « postes de travail, sauvegardes » (énoncé p.2)</t>
  </si>
  <si>
    <t xml:space="preserve">SAPD24</t>
  </si>
  <si>
    <t xml:space="preserve">Indisponibilité massive d'équipements des utilisateurs, due à un logiciel malveillant (virus, rançongiciel, etc.)</t>
  </si>
  <si>
    <t xml:space="preserve">S01 — Environnement de travail et équipement des utilisateurs</t>
  </si>
  <si>
    <t xml:space="preserve">Postes de travail des salariés et formateurs (T2 S01, D = 2)</t>
  </si>
  <si>
    <t xml:space="preserve">Logiciel malveillant, rançongiciel (IF.L.Vir) ; exposition naturelle 4</t>
  </si>
  <si>
    <t xml:space="preserve">Postes inutilisables : arrêt du travail administratif et des formations dispensées depuis ces postes</t>
  </si>
  <si>
    <t xml:space="preserve">Prév. : 4A02; Pall. : 6B07</t>
  </si>
  <si>
    <t xml:space="preserve">Périmètre « postes de travail » (énoncé p.2)</t>
  </si>
  <si>
    <t xml:space="preserve">Fichiers bureautiques et courriels (données RH, données personnelles : T1 domaines 6 et 9, C = 3)</t>
  </si>
  <si>
    <t xml:space="preserve">Salarié ou formateur trompé par un message d'hameçonnage (AH.L.Phi)</t>
  </si>
  <si>
    <t xml:space="preserve">Divulgation de données personnelles d'apprenants ou de salariés</t>
  </si>
  <si>
    <t xml:space="preserve">Prév. : 1C06</t>
  </si>
  <si>
    <t xml:space="preserve">Incident d'hameçonnage subi (énoncé p.2) ; R-01 (énoncé p.5)</t>
  </si>
  <si>
    <t xml:space="preserve">D01 — Fichier ou base de données</t>
  </si>
  <si>
    <t xml:space="preserve">Données des outils internes hébergés sur les serveurs virtuels : dossiers administratifs et de financement, contrats (T1 domaines 2 et 9, C = 3)</t>
  </si>
  <si>
    <t xml:space="preserve">Tiers non autorisé (AH.L.Vol) ; interprétation : il se connecte par le VPN avec un compte volé par hameçonnage (H-05)</t>
  </si>
  <si>
    <t xml:space="preserve">Exposition de dossiers de financement et de données personnelles d'apprenants</t>
  </si>
  <si>
    <t xml:space="preserve">Prév. : max(min(3A04,3A07),5B02)</t>
  </si>
  <si>
    <t xml:space="preserve">R-01 (énoncé p.5) ; H-01 (MFA non systématique)</t>
  </si>
  <si>
    <t xml:space="preserve">Données des outils internes (serveurs virtuels) : dossiers administratifs et de financement (T1 domaines 2 et 9, I = 3)</t>
  </si>
  <si>
    <t xml:space="preserve">Personne non autorisée (AH.L.Fal) ; interprétation : via un compte usurpé, joint par le VPN</t>
  </si>
  <si>
    <t xml:space="preserve">Dossiers administratifs ou de financement altérés : erreurs administratives, retard de prise en charge</t>
  </si>
  <si>
    <t xml:space="preserve">I</t>
  </si>
  <si>
    <t xml:space="preserve">Prév. : max(min(3A04,3A07),5A02,5B02); Conf. : 5A03</t>
  </si>
  <si>
    <t xml:space="preserve">R-01 (énoncé p.5) ; énoncé p.3 (dossiers de financement : I élevée)</t>
  </si>
  <si>
    <t xml:space="preserve">DAPD02</t>
  </si>
  <si>
    <t xml:space="preserve">Effacement  accidentel de données</t>
  </si>
  <si>
    <t xml:space="preserve">Données des outils internes (serveurs virtuels) : dossiers administratifs et de financement (T1 domaine 2, D = 3), sauvegardées avec le NAS (H-19)</t>
  </si>
  <si>
    <t xml:space="preserve">Erreur de manipulation ou de procédure (ER.P.Pro)</t>
  </si>
  <si>
    <t xml:space="preserve">Perte de dossiers administratifs ou de financement ; restauration incertaine</t>
  </si>
  <si>
    <t xml:space="preserve">Pall. : 4A03</t>
  </si>
  <si>
    <t xml:space="preserve">« Absence ponctuelle de sauvegardes vérifiées » (énoncé p.2)</t>
  </si>
  <si>
    <t xml:space="preserve">Effacement  accidentel de fichier de données</t>
  </si>
  <si>
    <t xml:space="preserve">D07 — Fichier ou base de données</t>
  </si>
  <si>
    <t xml:space="preserve">Données externalisées sur le cloud : LMS, CRM, facturation, stockage collaboratif (T1 domaines 1 à 5, 9, processus 1 et 2, D = 3)</t>
  </si>
  <si>
    <t xml:space="preserve">Effacement accidentel (ER.P.Pro)</t>
  </si>
  <si>
    <t xml:space="preserve">Perte de contenus de formation, de suivis ou de dossiers stockés chez le prestataire, sans copie indépendante vérifiée</t>
  </si>
  <si>
    <t xml:space="preserve">Pall. : 4A04</t>
  </si>
  <si>
    <t xml:space="preserve">H-02 (pas de tests de restauration trimestriels) ; énoncé p.2</t>
  </si>
  <si>
    <t xml:space="preserve">SEXD02</t>
  </si>
  <si>
    <t xml:space="preserve">Arrêt de fonctionnement d'un élément de l'infrastructure support des services externalisés</t>
  </si>
  <si>
    <t xml:space="preserve">S02 — Infrastructure matérielle et logicielle support de services externalisés</t>
  </si>
  <si>
    <t xml:space="preserve">Services externalisés : LMS, visioconférence, messagerie (T2 S02 domaine 3 et processus 1, D = 3)</t>
  </si>
  <si>
    <t xml:space="preserve">Panne de l'infrastructure du prestataire (AB.S.Ser) ; inclut l'absence du prestataire (SEXD01, regroupé : même actif, même gravité, même traitement)</t>
  </si>
  <si>
    <t xml:space="preserve">Formations en cours interrompues</t>
  </si>
  <si>
    <t xml:space="preserve">Pall. : 5D02</t>
  </si>
  <si>
    <t xml:space="preserve">PSSE</t>
  </si>
  <si>
    <t xml:space="preserve">Incident d'indisponibilité SaaS subi (énoncé p.2) ; R-03 (énoncé p.5) ; O-04</t>
  </si>
  <si>
    <t xml:space="preserve">CEPD02</t>
  </si>
  <si>
    <t xml:space="preserve">Interruption ou indisponibilité des services de partenaires nécessaires à la messagerie électronique</t>
  </si>
  <si>
    <t xml:space="preserve">D04 — Courriel en transit</t>
  </si>
  <si>
    <t xml:space="preserve">Messagerie électronique (T1 domaine 3 et processus 1, D = 3)</t>
  </si>
  <si>
    <t xml:space="preserve">Indisponibilité des services du partenaire de messagerie (AB.S.Ser)</t>
  </si>
  <si>
    <t xml:space="preserve">Échanges avec les apprenants et formateurs bloqués pendant les sessions</t>
  </si>
  <si>
    <t xml:space="preserve">Pall. : 6A03</t>
  </si>
  <si>
    <t xml:space="preserve">Messagerie « indispensable pendant les périodes de formation » (énoncé p.2, O-04)</t>
  </si>
  <si>
    <t xml:space="preserve">Fichiers bureautiques : données RH et personnelles (T1 domaines 6 et 9, C = 3)</t>
  </si>
  <si>
    <t xml:space="preserve">Erreur de manipulation : envoi ou partage au mauvais destinataire (ER.P.Pro)</t>
  </si>
  <si>
    <t xml:space="preserve">Exposition de données personnelles</t>
  </si>
  <si>
    <t xml:space="preserve">Prév. : 6B01</t>
  </si>
  <si>
    <t xml:space="preserve">Erreurs de partage de fichiers subies (énoncé p.2) ; R-02 (énoncé p.5) ; effet des règles de partage (A08) estimé hors classeur (R-23)</t>
  </si>
  <si>
    <t xml:space="preserve">Données externalisées sur le cloud : dossiers apprenants, LMS, CRM (T1 domaines 1 à 5, 9, C = 3)</t>
  </si>
  <si>
    <t xml:space="preserve">Téléchargement volontaire (AH.L.Vol) ; interprétation : via un lien de partage mal configuré, un compte cloud volé ou le compte d'un ancien apprenant resté actif (H-22)</t>
  </si>
  <si>
    <t xml:space="preserve">Divulgation de dossiers apprenants</t>
  </si>
  <si>
    <t xml:space="preserve">Prév. : max(3A09,5G02)</t>
  </si>
  <si>
    <t xml:space="preserve">CASE</t>
  </si>
  <si>
    <t xml:space="preserve">R-02 « partage cloud mal configuré » (énoncé p.5) ; H-22 (comptes apprenants) ; réduit dans le classeur par le MFA des services cloud (3A09, projet CASE)</t>
  </si>
  <si>
    <t xml:space="preserve">Données des outils internes (serveurs virtuels), D01, C = 3</t>
  </si>
  <si>
    <t xml:space="preserve">Utilisateur autorisé, dont personnel à droits privilégiés (AH.L.Vol)</t>
  </si>
  <si>
    <t xml:space="preserve">Fuite de dossiers de financement ou de données personnelles par un initié</t>
  </si>
  <si>
    <t xml:space="preserve">Diss. : min(3A08,4A11)</t>
  </si>
  <si>
    <t xml:space="preserve">A</t>
  </si>
  <si>
    <t xml:space="preserve">Droits « variables selon les applications » (énoncé p.2) ; H-06</t>
  </si>
  <si>
    <t xml:space="preserve">Données des outils internes (serveurs virtuels), D01, I = 3</t>
  </si>
  <si>
    <t xml:space="preserve">Utilisateur autorisé, dont personnel à droits privilégiés (AH.L.Fal)</t>
  </si>
  <si>
    <t xml:space="preserve">Falsification de dossiers ou de résultats par un initié</t>
  </si>
  <si>
    <t xml:space="preserve">Diss. : min(3A08,4A11); Prév. : 5A02; Conf. : 5A03</t>
  </si>
  <si>
    <t xml:space="preserve">H-06 ; M-04</t>
  </si>
  <si>
    <t xml:space="preserve">Données des outils internes et leurs sauvegardes sur le NAS (D01, D = 3)</t>
  </si>
  <si>
    <t xml:space="preserve">Membre du personnel doté de droits privilégiés (AH.L.Tot)</t>
  </si>
  <si>
    <t xml:space="preserve">Destruction des données et de leurs sauvegardes : reprise impossible</t>
  </si>
  <si>
    <t xml:space="preserve">Diss. : 3A08</t>
  </si>
  <si>
    <t xml:space="preserve">H-06 ; énoncé p.2 (comptes administrateurs, sauvegardes)</t>
  </si>
  <si>
    <t xml:space="preserve">Fichiers bureautiques échangés entre les postes et le NAS sur le réseau local : fichiers RH, dossiers d'apprenants (T1 domaines 6 et 9, C = 3)</t>
  </si>
  <si>
    <t xml:space="preserve">Écoute du réseau local par une personne connectée au Wi-Fi non séparé, par exemple un apprenant en présentiel (AH.L.Cap) ; scénario conditionnel à H-20</t>
  </si>
  <si>
    <t xml:space="preserve">Divulgation de données RH ou d'apprenants captées en transit</t>
  </si>
  <si>
    <t xml:space="preserve">Prév. : 5B01</t>
  </si>
  <si>
    <t xml:space="preserve">H-20 (réseau non cloisonné, Wi-Fi des apprenants non séparé) ; périmètre « équipements réseau » (énoncé p.2) ; remplace DAPC02 (O-17)</t>
  </si>
  <si>
    <t xml:space="preserve">Fichiers bureautiques et données d'apprenants consultés depuis les ordinateurs personnels des formateurs extérieurs (T1 domaines 6 et 9, C = 3)</t>
  </si>
  <si>
    <t xml:space="preserve">Proche d'un formateur ou d'un télétravailleur qui utilise le même ordinateur personnel (AH.L.Vol)</t>
  </si>
  <si>
    <t xml:space="preserve">Divulgation de données personnelles d'apprenants</t>
  </si>
  <si>
    <t xml:space="preserve">Prév. : 6C02</t>
  </si>
  <si>
    <t xml:space="preserve">H-05 (accès distant), H-21 (ordinateurs personnels des formateurs) ; périmètre « accès distant » (énoncé p.2)</t>
  </si>
  <si>
    <t xml:space="preserve">D02 — Media support de données</t>
  </si>
  <si>
    <t xml:space="preserve">Portables des salariés contenant des fichiers RH et des dossiers d'apprenants (T1 domaines 6 et 9, C = 3)</t>
  </si>
  <si>
    <t xml:space="preserve">Vol ou perte d'un portable (AH.P.Vol) ; la base n'a pas de scénario de vol hors des locaux (H-28)</t>
  </si>
  <si>
    <t xml:space="preserve">Divulgation des données présentes sur le disque du portable</t>
  </si>
  <si>
    <t xml:space="preserve">Diss. : 2D03; Prév. : max(min(2D01,2D02),6B01)</t>
  </si>
  <si>
    <t xml:space="preserve">H-28 (approximation), H-29 (locaux) ; télétravail autorisé (énoncé p.2)</t>
  </si>
  <si>
    <t xml:space="preserve">D04 — Courriel</t>
  </si>
  <si>
    <t xml:space="preserve">Messagerie d'AFN : échanges de factures, de conventions et de coordonnées bancaires avec les financeurs, les entreprises clientes et les apprenants (T1 processus 1, I = 3 ; domaine 5)</t>
  </si>
  <si>
    <t xml:space="preserve">Fraudeur qui envoie des courriels au nom d'AFN en usurpant son domaine (AH.L.Fau)</t>
  </si>
  <si>
    <t xml:space="preserve">Faux RIB envoyé à un financeur ou à un client : paiement détourné, retard d'encaissement, atteinte à la relation avec les financeurs</t>
  </si>
  <si>
    <t xml:space="preserve">Prév. : 6B03</t>
  </si>
  <si>
    <t xml:space="preserve">H-30, J-11 ; activité « Facturation et encaissement » (énoncé p.2) ; fraude au changement de RIB</t>
  </si>
  <si>
    <t xml:space="preserve">Hors RP</t>
  </si>
  <si>
    <t xml:space="preserve">Non application de procédure adaptée au respect des exigences légales ou contractuelles, par absence de procédures adaptées ou par ignorance de la bonne procédure</t>
  </si>
  <si>
    <t xml:space="preserve">P01 — Procédure support des processus</t>
  </si>
  <si>
    <t xml:space="preserve">Processus de gestion de la conformité (T2 P01, E = 2 : domaines 1, 2, 5, 6, 9)</t>
  </si>
  <si>
    <t xml:space="preserve">Procédure absente ou ignorée (PR.N.Nai)</t>
  </si>
  <si>
    <t xml:space="preserve">Non-respect d'une obligation légale ou contractuelle (données personnelles, financements)</t>
  </si>
  <si>
    <t xml:space="preserve">E</t>
  </si>
  <si>
    <t xml:space="preserve">Prév. : 8A01</t>
  </si>
  <si>
    <t xml:space="preserve">Dysfonctionnement « non-conformité » (énoncé p.2, étape 8) ; 8A01-05 non démontré</t>
  </si>
  <si>
    <t xml:space="preserve">Lecture : « Actuel » = gravité actuelle (option 2) ; « après plan » = gravité résiduelle (option 3) du classeur rendu, avec les 12 projets décidés et leurs niveaux cibles fixés à 3 (« correctement mis en œuvre ») : c'est l'objectif à six mois. « À terme » = même calcul sur une copie, avec les cibles d'origine du modèle, souvent 4 (« mature et documenté ») : horizon de 12 à 18 mois. Classeur AFN_MEHARI_v04_2026-10-20.xlsm. Les scénarios D01 portent sur les outils internes des serveurs virtuels ; les données des services SaaS sont en D07 (journal H-18).</t>
  </si>
  <si>
    <t xml:space="preserve">Projets MEHARI — choix et gain calculé (étapes 23–24 ; guide p.47–48)</t>
  </si>
  <si>
    <t xml:space="preserve">Simulation sur copies recalculées du classeur v04 (option gravité résiduelle, cibles à 3). « Projet seul » : projet marqué décidé à partir de l'état actuel. « Si retiré » : plan de 12 projets moins ce projet. Comptages sur les 75 scénarios de niveau ≥ 3 de la base, indicatifs : 118 sous-services non audités restent au niveau 1 par défaut.</t>
  </si>
  <si>
    <t xml:space="preserve">Code</t>
  </si>
  <si>
    <t xml:space="preserve">Libellé (feuille Projets)</t>
  </si>
  <si>
    <t xml:space="preserve">Services : niveau actuel → cible (classeur rendu)</t>
  </si>
  <si>
    <t xml:space="preserve">Effet sur les scénarios retenus (projet seul, cibles à 3) : gravité G, potentialité P ou impact I</t>
  </si>
  <si>
    <t xml:space="preserve">Scénarios de la base ramenés à ≤ 2 (projet seul)</t>
  </si>
  <si>
    <t xml:space="preserve">Scénarios repassant à ≥ 3 si le projet est retiré du plan</t>
  </si>
  <si>
    <t xml:space="preserve">Actions</t>
  </si>
  <si>
    <t xml:space="preserve">Protection contre les malwares et actions malveillantes (hameçonnage)</t>
  </si>
  <si>
    <t xml:space="preserve">1C06 0→3 ; 4A02 1→3</t>
  </si>
  <si>
    <t xml:space="preserve">DBUD03 (G 3→2), DBUC03 (P 3→2), DBUC04 (G 4→3), SAPD24 (G 3→2)</t>
  </si>
  <si>
    <t xml:space="preserve">2 (DBUD03, SAPD24)</t>
  </si>
  <si>
    <t xml:space="preserve">A03, A04, A13</t>
  </si>
  <si>
    <t xml:space="preserve">Moyen</t>
  </si>
  <si>
    <t xml:space="preserve">Retenu</t>
  </si>
  <si>
    <t xml:space="preserve">Projet qui réduit le plus de scénarios retenus, dont le seul niveau 4 ; répond à l'incident d'hameçonnage.</t>
  </si>
  <si>
    <t xml:space="preserve">Contrôle d'accès aux systèmes et applications</t>
  </si>
  <si>
    <t xml:space="preserve">3A02 0→3 ; 3A04 0→3 ; 3A06 0→3 ; 3A07 0→3</t>
  </si>
  <si>
    <t xml:space="preserve">DAPI01-a (P 3→2), DAPC01-b (P 3→2)</t>
  </si>
  <si>
    <t xml:space="preserve">A01, A02, A10</t>
  </si>
  <si>
    <t xml:space="preserve">Faible</t>
  </si>
  <si>
    <t xml:space="preserve">Porte le MFA et la gestion des droits demandés par l'énoncé (§7, P1 Mois 1 et P2 Mois 3). Avec une cible à 3, il fait baisser la potentialité de DAPI01-a et DAPC01-b sans changer leur gravité.</t>
  </si>
  <si>
    <t xml:space="preserve">Sauvegardes des données et configurations (non externalisées)</t>
  </si>
  <si>
    <t xml:space="preserve">4A03 1→3 ; 6B04 2→3 ; 6B06 1→3 ; 6B07 0→3</t>
  </si>
  <si>
    <t xml:space="preserve">DAPD02 (G 3→2)</t>
  </si>
  <si>
    <t xml:space="preserve">13 (DAPD02)</t>
  </si>
  <si>
    <t xml:space="preserve">A05, A13</t>
  </si>
  <si>
    <t xml:space="preserve">Projet le plus efficace sur la base complète (13 scénarios de niveau ≥ 3 ramenés à ≤ 2) ; répond à l'incident « sauvegardes non vérifiées ».</t>
  </si>
  <si>
    <t xml:space="preserve">Disponibilité des données externalisées</t>
  </si>
  <si>
    <t xml:space="preserve">3C01 1→3 ; 4A04 0→3</t>
  </si>
  <si>
    <t xml:space="preserve">DEXD01 (G 3→2)</t>
  </si>
  <si>
    <t xml:space="preserve">3 (DEXD01)</t>
  </si>
  <si>
    <t xml:space="preserve">Seul levier sur la perte de données cloud (4A04) ; H-02.</t>
  </si>
  <si>
    <t xml:space="preserve">Plans de secours des systèmes externalisés</t>
  </si>
  <si>
    <t xml:space="preserve">4C04 1→3 ; 5D02 0→3</t>
  </si>
  <si>
    <t xml:space="preserve">SEXD02 (G 3→2)</t>
  </si>
  <si>
    <t xml:space="preserve">2 (SEXD02)</t>
  </si>
  <si>
    <t xml:space="preserve">Répond à l'incident d'indisponibilité SaaS et à R-03.</t>
  </si>
  <si>
    <t xml:space="preserve">Contrôle d'accès aux systèmes et services externalisés</t>
  </si>
  <si>
    <t xml:space="preserve">3A09 1→3</t>
  </si>
  <si>
    <t xml:space="preserve">DEXC01 (P 3→2)</t>
  </si>
  <si>
    <t xml:space="preserve">Porte le MFA des services cloud (3A09-02, action A02) ; réduit DEXC01. Les règles de partage (A08) ne relèvent pas de 3A09 (O-15).</t>
  </si>
  <si>
    <t xml:space="preserve">Surveillance des activités internes</t>
  </si>
  <si>
    <t xml:space="preserve">3A08 0→3 ; 4A11 0→3</t>
  </si>
  <si>
    <t xml:space="preserve">DAPI01-b (P 3→2), DAPC01-a (P 3→2)</t>
  </si>
  <si>
    <t xml:space="preserve">Condition de l'acceptation temporaire de RP-6 (surveillance des comptes privilégiés, prestataire compris) ; fait baisser la potentialité de DAPC01-a et DAPI01-b.</t>
  </si>
  <si>
    <t xml:space="preserve">Sécurité des mails et des messages électroniques</t>
  </si>
  <si>
    <t xml:space="preserve">6A03 0→3 ; 6B03 0→3</t>
  </si>
  <si>
    <t xml:space="preserve">CEPD02 (G 3→2), CEPI02 (P 3→2)</t>
  </si>
  <si>
    <t xml:space="preserve">2 (CEPD02)</t>
  </si>
  <si>
    <t xml:space="preserve">A03, A07, A18</t>
  </si>
  <si>
    <t xml:space="preserve">Faible à moyen</t>
  </si>
  <si>
    <t xml:space="preserve">Continuité de la messagerie (6A03, CEPD02) et sécurité des courriels (6B03) : authentification du domaine contre la fraude au RIB (CEPI02, RP-8) et traitement des messages suspects.</t>
  </si>
  <si>
    <t xml:space="preserve">Chiffrement des données bureautiques</t>
  </si>
  <si>
    <t xml:space="preserve">6B01 0→3</t>
  </si>
  <si>
    <t xml:space="preserve">DBUC02 (P 3→2), DBUC04 (G 4→3), DBUC10-b (P 3→2)</t>
  </si>
  <si>
    <t xml:space="preserve">Chiffrement des disques des portables : seul levier sur DBUC10-b (H-28) ; second levier sur DBUC04 (avec PMAL). Coût faible, mois 2 à 3.</t>
  </si>
  <si>
    <t xml:space="preserve">Sécurité des appareils mobiles personnels</t>
  </si>
  <si>
    <t xml:space="preserve">6C02 0→3</t>
  </si>
  <si>
    <t xml:space="preserve">DBUC01-e (P 3→2)</t>
  </si>
  <si>
    <t xml:space="preserve">Seul projet qui réduit DBUC01-e (ordinateurs personnels des formateurs).</t>
  </si>
  <si>
    <t xml:space="preserve">Chiffrement des échanges de données</t>
  </si>
  <si>
    <t xml:space="preserve">5B01 1→3</t>
  </si>
  <si>
    <t xml:space="preserve">Aucun effet calculé avec une cible à 3 ; avec une cible à 4 : DBUC05 (G 3→2)</t>
  </si>
  <si>
    <t xml:space="preserve">Seul projet qui agit sur DBUC05 (captation de fichiers sur le réseau local, conditionnel à H-20). Avec une cible à 3, la gravité calculée ne change pas : l'effet n'apparaît qu'avec une cible à 4. Maintenu parce que le réseau fait partie du périmètre minimal.</t>
  </si>
  <si>
    <t xml:space="preserve">Conformité aux exigences légales ou contractuelles</t>
  </si>
  <si>
    <t xml:space="preserve">8A01 0→3 ; 8A02 1→3 ; 8A03 1→3</t>
  </si>
  <si>
    <t xml:space="preserve">Aucun effet calculé avec une cible à 3 ; avec une cible à 4 : PGCE01 (G 2→1)</t>
  </si>
  <si>
    <t xml:space="preserve">Décidé : PGCE01 (non-conformité légale) ne peut pas être accepté. Avec une cible à 3, la gravité calculée reste 2 ; avec une cible à 4, PGCE01 passe à 1.</t>
  </si>
  <si>
    <t xml:space="preserve">PIDA</t>
  </si>
  <si>
    <t xml:space="preserve">Protection de l'intégrité des fichiers de données applicatives</t>
  </si>
  <si>
    <t xml:space="preserve">5A02 0→4</t>
  </si>
  <si>
    <t xml:space="preserve">DAPI01-a (G 3→2), DAPI01-b (G 3→2)</t>
  </si>
  <si>
    <t xml:space="preserve">Phase 2 (M7–M9)</t>
  </si>
  <si>
    <t xml:space="preserve">Proposé par Sel_Projets. Réduirait DAPI01-b (RP-6) : c'est la sortie prévue de l'acceptation temporaire ; dépend de l'éditeur des outils (M-01).</t>
  </si>
  <si>
    <t xml:space="preserve">CHDA</t>
  </si>
  <si>
    <t xml:space="preserve">Chiffrement des données applicatives stockées</t>
  </si>
  <si>
    <t xml:space="preserve">5B02 0→4</t>
  </si>
  <si>
    <t xml:space="preserve">DAPI01-a (G 3→2), DAPC01-b (G 3→2)</t>
  </si>
  <si>
    <t xml:space="preserve">Phase 2</t>
  </si>
  <si>
    <t xml:space="preserve">Proposé par Sel_Projets (DAPI01-a, DAPC01-b). Dépend des fonctions de chiffrement des éditeurs et des outils internes (M-01).</t>
  </si>
  <si>
    <t xml:space="preserve">PCDE</t>
  </si>
  <si>
    <t xml:space="preserve">Protection de la confidentialité des fichiers de données externalisées</t>
  </si>
  <si>
    <t xml:space="preserve">5G02 0→4</t>
  </si>
  <si>
    <t xml:space="preserve">DEXC01 (G 3→2)</t>
  </si>
  <si>
    <t xml:space="preserve">Proposé par Sel_Projets (DEXC01). À juger après le MFA (A02) et les règles de partage (A08), qui traitent déjà la cause.</t>
  </si>
  <si>
    <t xml:space="preserve">SUBU</t>
  </si>
  <si>
    <t xml:space="preserve">Surveillance des zones de bureaux sensbles</t>
  </si>
  <si>
    <t xml:space="preserve">2D03 0→3</t>
  </si>
  <si>
    <t xml:space="preserve">DBUC10-b (P 3→2)</t>
  </si>
  <si>
    <t xml:space="preserve">Proposé par Sel_Projets (DBUC10-b). Sécurité physique des bureaux, hors de la priorité du plan à six mois.</t>
  </si>
  <si>
    <t xml:space="preserve">COMA</t>
  </si>
  <si>
    <t xml:space="preserve">Contrôle des opérations de maintenance</t>
  </si>
  <si>
    <t xml:space="preserve">4A09 1→4 ; 7B09 1→4</t>
  </si>
  <si>
    <t xml:space="preserve">DAPC01-c, non retenu (G 3→2)</t>
  </si>
  <si>
    <t xml:space="preserve">Contrôle des opérations de maintenance (4A09) : seul levier sur DAPC01-c (fuite lors d'une maintenance par le prestataire, H-26), aujourd'hui résiduel hors sélection.</t>
  </si>
  <si>
    <t xml:space="preserve">PCAC</t>
  </si>
  <si>
    <t xml:space="preserve">Plan de continuité de l'activité</t>
  </si>
  <si>
    <t xml:space="preserve">1E01 0→3</t>
  </si>
  <si>
    <t xml:space="preserve">aucun</t>
  </si>
  <si>
    <t xml:space="preserve">Non retenu (après A07)</t>
  </si>
  <si>
    <t xml:space="preserve">Aucun gain calculé ; le PCA global sera bâti sur les plans de secours SaaS (A07).</t>
  </si>
  <si>
    <t xml:space="preserve">GPES</t>
  </si>
  <si>
    <t xml:space="preserve">Gestion du personnel stratégique</t>
  </si>
  <si>
    <t xml:space="preserve">1E03 0→3</t>
  </si>
  <si>
    <t xml:space="preserve">Non retenu</t>
  </si>
  <si>
    <t xml:space="preserve">SEXD01 (regroupé avec SEXD02) est déjà ramené à 2 par PSSE.</t>
  </si>
  <si>
    <t xml:space="preserve">Sel_Projets, relancée avec les 12 projets décidés et les cibles à 3, propose CHDA, SUBU, PCDE et PIDA : aucun n'est décidé, ils sont reportés en phase 2 avec COMA (journal H-33).</t>
  </si>
  <si>
    <t xml:space="preserve">Synthèse chiffrée</t>
  </si>
  <si>
    <t xml:space="preserve">Bloc 1 calculé à partir de l'onglet Scénarios retenus. Blocs 2 et 3 : valeurs relevées dans le classeur (feuilles Scénarios et Services).</t>
  </si>
  <si>
    <t xml:space="preserve">1. Scénarios retenus (20)</t>
  </si>
  <si>
    <t xml:space="preserve">Niveau de gravité</t>
  </si>
  <si>
    <t xml:space="preserve">Actuel</t>
  </si>
  <si>
    <t xml:space="preserve">Après plan (cibles à 3)</t>
  </si>
  <si>
    <t xml:space="preserve">À terme (cibles à 4)</t>
  </si>
  <si>
    <t xml:space="preserve">Niveau 4</t>
  </si>
  <si>
    <t xml:space="preserve">Niveau 3</t>
  </si>
  <si>
    <t xml:space="preserve">Niveau 2</t>
  </si>
  <si>
    <t xml:space="preserve">Niveau 1</t>
  </si>
  <si>
    <t xml:space="preserve">Total</t>
  </si>
  <si>
    <t xml:space="preserve">Niveau ≥ 3 (inacceptable)</t>
  </si>
  <si>
    <t xml:space="preserve">2. Base complète du classeur (183 scénarios) — indicatif, non présenté à la direction</t>
  </si>
  <si>
    <t xml:space="preserve">Intrinsèque = actuel</t>
  </si>
  <si>
    <t xml:space="preserve">Non évalué (actif non coté)</t>
  </si>
  <si>
    <t xml:space="preserve">Source : feuille Scénarios, col. Z, copies recalculées du classeur v04 (options 2 et 3), avec tous les scénarios sélectionnés (col. I à 1). Les 31 « non évalués » portent sur des actifs non cotés (D03, D05, P02). Comptage indicatif : seuls 35 sous-services sur 153 sont audités. Les scénarios non retenus qui restent inadmissibles sont listés dans l'onglet « Risques résiduels ».</t>
  </si>
  <si>
    <t xml:space="preserve">3. Sous-services audités (35) — feuille Services</t>
  </si>
  <si>
    <t xml:space="preserve">Sous-service</t>
  </si>
  <si>
    <t xml:space="preserve">Intitulé</t>
  </si>
  <si>
    <t xml:space="preserve">Questions répondues</t>
  </si>
  <si>
    <t xml:space="preserve">Note V1 (col. D)</t>
  </si>
  <si>
    <t xml:space="preserve">Niveau final (col. J)</t>
  </si>
  <si>
    <t xml:space="preserve">1B02</t>
  </si>
  <si>
    <t xml:space="preserve">Utilisation des mobiles et télétravail</t>
  </si>
  <si>
    <t xml:space="preserve">1B05</t>
  </si>
  <si>
    <t xml:space="preserve">Cloisonnement des réseaux</t>
  </si>
  <si>
    <t xml:space="preserve">1B07</t>
  </si>
  <si>
    <t xml:space="preserve">Sécurité de l'information dans l'utilisation de services en nuage</t>
  </si>
  <si>
    <t xml:space="preserve">1C06</t>
  </si>
  <si>
    <t xml:space="preserve">Protection contre l'hameçonnage (phishing) et abus de confiance</t>
  </si>
  <si>
    <t xml:space="preserve">1E01</t>
  </si>
  <si>
    <t xml:space="preserve">Plans de continuité de l'activité</t>
  </si>
  <si>
    <t xml:space="preserve">1E03</t>
  </si>
  <si>
    <t xml:space="preserve">Gestion du personnel et des partenaires ou prestataires stratégiques</t>
  </si>
  <si>
    <t xml:space="preserve">2D01</t>
  </si>
  <si>
    <t xml:space="preserve">Contrôle d'accès physique aux zones de bureaux sensibles</t>
  </si>
  <si>
    <t xml:space="preserve">2D02</t>
  </si>
  <si>
    <t xml:space="preserve">Détection des intrusions dans les zones de bureaux protégées</t>
  </si>
  <si>
    <t xml:space="preserve">2D03</t>
  </si>
  <si>
    <t xml:space="preserve">Surveillance des zones de bureaux protégées</t>
  </si>
  <si>
    <t xml:space="preserve">3A02</t>
  </si>
  <si>
    <t xml:space="preserve">Gestion des autorisations d'accès (attribution, délégation, retrait)</t>
  </si>
  <si>
    <t xml:space="preserve">3A03</t>
  </si>
  <si>
    <t xml:space="preserve">Informations d'authentification</t>
  </si>
  <si>
    <t xml:space="preserve">3A04</t>
  </si>
  <si>
    <t xml:space="preserve">Contrôle des accès (aux applications, aux données applicatives et aux fonctions systèmes) </t>
  </si>
  <si>
    <t xml:space="preserve">3A06</t>
  </si>
  <si>
    <t xml:space="preserve">Gestion des autorisations d'accès privilégiés (attribution, délégation, retrait)</t>
  </si>
  <si>
    <t xml:space="preserve">3A07</t>
  </si>
  <si>
    <t xml:space="preserve">Contrôle des accès privilégiés</t>
  </si>
  <si>
    <t xml:space="preserve">3A08</t>
  </si>
  <si>
    <t xml:space="preserve">Surveillance des actions effectuées avec des droits privilégiés</t>
  </si>
  <si>
    <t xml:space="preserve">3A09</t>
  </si>
  <si>
    <t xml:space="preserve">4A02</t>
  </si>
  <si>
    <t xml:space="preserve">Protection contre les malwares</t>
  </si>
  <si>
    <t xml:space="preserve">4A03</t>
  </si>
  <si>
    <t xml:space="preserve">Sauvegarde des données et configurations</t>
  </si>
  <si>
    <t xml:space="preserve">4A04</t>
  </si>
  <si>
    <t xml:space="preserve">Sauvegarde de recours des données externalisées</t>
  </si>
  <si>
    <t xml:space="preserve">4A10</t>
  </si>
  <si>
    <t xml:space="preserve">Surveillance en temps réel de l'activité et gestion des anomalies</t>
  </si>
  <si>
    <t xml:space="preserve">4A11</t>
  </si>
  <si>
    <t xml:space="preserve">Journalisation et contrôle des journaux</t>
  </si>
  <si>
    <t xml:space="preserve">5A02</t>
  </si>
  <si>
    <t xml:space="preserve">Protection de l'intégrité des fichiers de données applicatives sensibles</t>
  </si>
  <si>
    <t xml:space="preserve">5A03</t>
  </si>
  <si>
    <t xml:space="preserve">Contrôles permanents (vraisemblance, ...) sur les données et traitements</t>
  </si>
  <si>
    <t xml:space="preserve">5B01</t>
  </si>
  <si>
    <t xml:space="preserve">Chiffrement des échanges de données applicatives </t>
  </si>
  <si>
    <t xml:space="preserve">5B02</t>
  </si>
  <si>
    <t xml:space="preserve">5D02</t>
  </si>
  <si>
    <t xml:space="preserve">Plan de continuité des services externalisés</t>
  </si>
  <si>
    <t xml:space="preserve">5G02</t>
  </si>
  <si>
    <t xml:space="preserve">Chiffrement des données applicatives externalisées</t>
  </si>
  <si>
    <t xml:space="preserve">6A02</t>
  </si>
  <si>
    <t xml:space="preserve">Travail en dehors des locaux de l'entreprise</t>
  </si>
  <si>
    <t xml:space="preserve">6A03</t>
  </si>
  <si>
    <t xml:space="preserve">Plan de continuité de la messagerie électronique</t>
  </si>
  <si>
    <t xml:space="preserve">6B01</t>
  </si>
  <si>
    <t xml:space="preserve">Protection de la confidentialité des données contenues sur le poste de travail ou sur un serveur de données (disque logique pour le poste de travail)</t>
  </si>
  <si>
    <t xml:space="preserve">6B03</t>
  </si>
  <si>
    <t xml:space="preserve">Sécurité de la messagerie électronique (courriels) et des échanges électroniques d'information</t>
  </si>
  <si>
    <t xml:space="preserve">6B04</t>
  </si>
  <si>
    <t xml:space="preserve">Plan de sauvegardes des données utilisateurs stockées sur les postes de travail</t>
  </si>
  <si>
    <t xml:space="preserve">6B07</t>
  </si>
  <si>
    <t xml:space="preserve">Sauvegarde des configurations des postes de travail des utilisateurs</t>
  </si>
  <si>
    <t xml:space="preserve">6C02</t>
  </si>
  <si>
    <t xml:space="preserve">Dispositifs de sécurité relatifs aux appareils mobiles personnels</t>
  </si>
  <si>
    <t xml:space="preserve">8A01</t>
  </si>
  <si>
    <t xml:space="preserve">Mise en place des processus et procédures adaptés aux exigences légales ou contractuelles</t>
  </si>
  <si>
    <t xml:space="preserve">Total questions</t>
  </si>
  <si>
    <t xml:space="preserve">300 réponses fondées sur l'énoncé ou sur une hypothèse tracée (règle R-21 du journal). Tous les sous-services restent au niveau 1, sauf 6B04 (niveau 2) : les questions de MEHARI portent sur le pilotage, la vérification et la copie hors site, et le niveau final ne descend jamais sous 1 (journal O-16).</t>
  </si>
  <si>
    <t xml:space="preserve">4. Évolution prévue des 20 scénarios retenus (fin des projets, cibles à 3)</t>
  </si>
  <si>
    <t xml:space="preserve">Aujourd'hui</t>
  </si>
  <si>
    <t xml:space="preserve">Fin du mois 2</t>
  </si>
  <si>
    <t xml:space="preserve">Fin du mois 4</t>
  </si>
  <si>
    <t xml:space="preserve">Fin du mois 6</t>
  </si>
  <si>
    <t xml:space="preserve">Projets terminés : fin du mois 2 = SADC, PMAL, CASE ; fin du mois 4 = tous sauf SUAI ; fin du mois 6 = les 12 projets. Simulation sur copies du classeur (option 3), en supposant les cibles atteintes à la date de fin de chaque projet. Le Tbord du classeur donne la même information par années, sa macro fixant les dates au 1er janvier (journal O-23).</t>
  </si>
  <si>
    <t xml:space="preserve">Scénarios non retenus (163) — exclusion explicite (étape 19)</t>
  </si>
  <si>
    <t xml:space="preserve">Catégorie attribuée par règle à partir du classeur, puis relue scénario par scénario : « levier commun » n'est conservé que si un projet décidé agit sur le scénario (colonne I). Colonne H : gravité après le plan (classeur rendu, cibles à 3). Dans le classeur : Sélection (col. I) = 0.</t>
  </si>
  <si>
    <t xml:space="preserve">Catégorie</t>
  </si>
  <si>
    <t xml:space="preserve">Motif</t>
  </si>
  <si>
    <t xml:space="preserve">Services de réduction</t>
  </si>
  <si>
    <t xml:space="preserve">Projets décidés agissant</t>
  </si>
  <si>
    <t xml:space="preserve">Hors périmètre</t>
  </si>
  <si>
    <t xml:space="preserve">2B01, 2B02, 2E05</t>
  </si>
  <si>
    <t xml:space="preserve">2B03, 2E05</t>
  </si>
  <si>
    <t xml:space="preserve">2E05</t>
  </si>
  <si>
    <t xml:space="preserve">IEID01-a</t>
  </si>
  <si>
    <t xml:space="preserve">Vol physique de document — dans un bureau par une personne autorisée à y pénétrer (dont personnel doté de droits d'accès physiques privilégiés)</t>
  </si>
  <si>
    <t xml:space="preserve">Non évalué</t>
  </si>
  <si>
    <t xml:space="preserve">Actif D03 désélectionné dans Classif (aucun document papier dans l'énoncé)</t>
  </si>
  <si>
    <t xml:space="preserve">2D03, 2E01</t>
  </si>
  <si>
    <t xml:space="preserve">IEID01-b</t>
  </si>
  <si>
    <t xml:space="preserve">Vol physique de document — dans un bureau par une personne non autorisée à y pénétrer</t>
  </si>
  <si>
    <t xml:space="preserve">2D01, 2D02, 2D03, 2D04, 2E01</t>
  </si>
  <si>
    <t xml:space="preserve">IEID01-c</t>
  </si>
  <si>
    <t xml:space="preserve">Vol physique de document — lors d'une impression sur imprimante partagée</t>
  </si>
  <si>
    <t xml:space="preserve">6B05</t>
  </si>
  <si>
    <t xml:space="preserve">IEID02</t>
  </si>
  <si>
    <t xml:space="preserve">Accident grave dû à l'environnement (Incendie, Inondation, foudroiement, etc.) ou à des actes de terrorisme</t>
  </si>
  <si>
    <t xml:space="preserve">2A03, 2E01</t>
  </si>
  <si>
    <t xml:space="preserve">IEID03</t>
  </si>
  <si>
    <t xml:space="preserve">Incident dû à l'environnement (Dégât des eaux, vieillissement, pollution, surcharge électrique, etc.) ou à du vandalisme</t>
  </si>
  <si>
    <t xml:space="preserve">2E01</t>
  </si>
  <si>
    <t xml:space="preserve">IEII01</t>
  </si>
  <si>
    <t xml:space="preserve">Falsification ou remplacement par un faux</t>
  </si>
  <si>
    <t xml:space="preserve">IEIC01-a</t>
  </si>
  <si>
    <t xml:space="preserve">Vol physique ou copie de document — dans un bureau par une personne non autorisée</t>
  </si>
  <si>
    <t xml:space="preserve">IEIC01-b</t>
  </si>
  <si>
    <t xml:space="preserve">Vol physique ou copie de document — dans un bureau par une personne autorisée à y pénétrer (dont personnel doté de droits d'accès physiques privilégiés)</t>
  </si>
  <si>
    <t xml:space="preserve">IEIC01-c</t>
  </si>
  <si>
    <t xml:space="preserve">Vol physique ou copie de document — lors d'une impression sur imprimante partagée</t>
  </si>
  <si>
    <t xml:space="preserve">IEIC01-d</t>
  </si>
  <si>
    <t xml:space="preserve">Vol physique ou copie de document — récupération de brouillon de document ou de document mis au rebut</t>
  </si>
  <si>
    <t xml:space="preserve">2E02</t>
  </si>
  <si>
    <t xml:space="preserve">IEIC02</t>
  </si>
  <si>
    <t xml:space="preserve">Consultation de document sensible par une personne non autorisée à pénétrer dans les espaces de bureau</t>
  </si>
  <si>
    <t xml:space="preserve">2D01, 2D02, 2D04, 2E01</t>
  </si>
  <si>
    <t xml:space="preserve">ARCD01</t>
  </si>
  <si>
    <t xml:space="preserve">Effacement  de fichier d'archive (effacement  malveillant, par un utilisateur ou par une personne dotée de droits privilégiés )</t>
  </si>
  <si>
    <t xml:space="preserve">Actif D05 désélectionné dans Classif (aucune archive mentionnée)</t>
  </si>
  <si>
    <t xml:space="preserve">3A08, 4A11, 4F02</t>
  </si>
  <si>
    <t xml:space="preserve">ARCD02</t>
  </si>
  <si>
    <t xml:space="preserve">Effacement ou disparition de moyens d'accès (clés de chiffrement, jetons, éléments nécessaires à l'exploitation des archives, etc.)</t>
  </si>
  <si>
    <t xml:space="preserve">4F01</t>
  </si>
  <si>
    <t xml:space="preserve">ARCD03</t>
  </si>
  <si>
    <t xml:space="preserve">Indisponibilité de références, d’adresses ou de processus d’accès au media</t>
  </si>
  <si>
    <t xml:space="preserve">ARCD04</t>
  </si>
  <si>
    <t xml:space="preserve">Vol physique de media</t>
  </si>
  <si>
    <t xml:space="preserve">4F03</t>
  </si>
  <si>
    <t xml:space="preserve">ARCD05</t>
  </si>
  <si>
    <t xml:space="preserve">Absence de matériel adapté ou incompatibilité de matériels</t>
  </si>
  <si>
    <t xml:space="preserve">ARCD06</t>
  </si>
  <si>
    <t xml:space="preserve">2A03, 4F03</t>
  </si>
  <si>
    <t xml:space="preserve">ARCD07</t>
  </si>
  <si>
    <t xml:space="preserve">Incident dû à l'environnement (Dégât des eaux, vieillissement, pollution,  etc.) ou à du vandalisme</t>
  </si>
  <si>
    <t xml:space="preserve">ARCD08</t>
  </si>
  <si>
    <t xml:space="preserve">ARCC01-a</t>
  </si>
  <si>
    <t xml:space="preserve">Accès et diffusion volontaire de fichiers de données — par une personne non autorisée</t>
  </si>
  <si>
    <t xml:space="preserve">4F02, 5B02</t>
  </si>
  <si>
    <t xml:space="preserve">ARCC01-b</t>
  </si>
  <si>
    <t xml:space="preserve">Accès et diffusion volontaire de fichiers de données — par une personne autorisée (dont personnel doté de droits privilégiés)</t>
  </si>
  <si>
    <t xml:space="preserve">3A08, 5B02</t>
  </si>
  <si>
    <t xml:space="preserve">ARCC02</t>
  </si>
  <si>
    <t xml:space="preserve">Vol physique ou duplication</t>
  </si>
  <si>
    <t xml:space="preserve">SAPC01-a</t>
  </si>
  <si>
    <t xml:space="preserve">Vol ou divulgation malveillante de code source — par un tiers non autorisé</t>
  </si>
  <si>
    <t xml:space="preserve">Confidentialité des services applicatifs (S01) non cotée dans T2 : pas de gravité calculée</t>
  </si>
  <si>
    <t xml:space="preserve">3A04, 3A07</t>
  </si>
  <si>
    <t xml:space="preserve">SAPC01-b</t>
  </si>
  <si>
    <t xml:space="preserve">Vol ou divulgation malveillante de code source — par une personne dotée de droits privilégiés</t>
  </si>
  <si>
    <t xml:space="preserve">SAPC01-c</t>
  </si>
  <si>
    <t xml:space="preserve">Vol ou divulgation malveillante de code source — lors d'une opération de maintenance</t>
  </si>
  <si>
    <t xml:space="preserve">7B10</t>
  </si>
  <si>
    <t xml:space="preserve">SAPC02-a</t>
  </si>
  <si>
    <t xml:space="preserve">Vol ou échange malveillant de média support de code source, dans les locaux de l'exploitation — dans les locaux de l'exploitation, par une personne autorisée (dont le personnel ayant des droits d'accès physique privilégiés)</t>
  </si>
  <si>
    <t xml:space="preserve">2B03</t>
  </si>
  <si>
    <t xml:space="preserve">SAPC02-b</t>
  </si>
  <si>
    <t xml:space="preserve">Vol ou échange malveillant de média support de code source, dans les locaux de l'exploitation — dans les locaux de l'exploitation, par une personne non autorisée</t>
  </si>
  <si>
    <t xml:space="preserve">2B01, 2B03, 5B02</t>
  </si>
  <si>
    <t xml:space="preserve">SAPC02-c</t>
  </si>
  <si>
    <t xml:space="preserve">Vol ou échange malveillant de média support de code source, dans les locaux de l'exploitation — lors de la mise au rebut d'un media</t>
  </si>
  <si>
    <t xml:space="preserve">4E03</t>
  </si>
  <si>
    <t xml:space="preserve">PGDE01</t>
  </si>
  <si>
    <t xml:space="preserve">Non application de procédure adaptée aux règles de gouvernance, de décision et de contrôle, par absence de procédures adaptées ou par ignorance de la bonne procédure</t>
  </si>
  <si>
    <t xml:space="preserve">P02 non coté dans T2 et désélectionné dans Classif</t>
  </si>
  <si>
    <t xml:space="preserve">8B01</t>
  </si>
  <si>
    <t xml:space="preserve">PGDE02</t>
  </si>
  <si>
    <t xml:space="preserve">Non application volontaire de procédure adaptée aux règles de gouvernance, de décision et de contrôle</t>
  </si>
  <si>
    <t xml:space="preserve">8B02</t>
  </si>
  <si>
    <t xml:space="preserve">PGDE03</t>
  </si>
  <si>
    <t xml:space="preserve">Application d'une procédure non adaptée aux règles de gouvernance, de décision et de contrôle (autre que celle qui aurait du être déclenchée) par incompréhension ou conflits entre procédures</t>
  </si>
  <si>
    <t xml:space="preserve">8B03</t>
  </si>
  <si>
    <t xml:space="preserve">DAPD10-a</t>
  </si>
  <si>
    <t xml:space="preserve">Perte par vol physique de document ou de media — vol commis par une personne autorisée à pénétrer dans les locaux de l'exploitation (dont le personnel ayant des droits privilégiés)</t>
  </si>
  <si>
    <t xml:space="preserve">Non prioritaire (physique)</t>
  </si>
  <si>
    <t xml:space="preserve">2B03, 4A03</t>
  </si>
  <si>
    <t xml:space="preserve">DAPD10-b</t>
  </si>
  <si>
    <t xml:space="preserve">Perte par vol physique de document ou de media — vol commis par une personne non autorisée à pénétrer dans les locaux de l'exploitation</t>
  </si>
  <si>
    <t xml:space="preserve">2B01, 2B02, 4A03</t>
  </si>
  <si>
    <t xml:space="preserve">DAPD11</t>
  </si>
  <si>
    <t xml:space="preserve">4A03, 4E02</t>
  </si>
  <si>
    <t xml:space="preserve">DAPD12</t>
  </si>
  <si>
    <t xml:space="preserve">Incendie ou accident grave : le plan le ramène à 2 grâce à la copie hors site et hors ligne des sauvegardes (A05, projet SADC, H-19) ; locaux décrits seulement en partie (H-29), sécurité physique hors de la priorité du plan.</t>
  </si>
  <si>
    <t xml:space="preserve">2A03, 4A03, 4E02</t>
  </si>
  <si>
    <t xml:space="preserve">2B03, 5A02, 5A03, 5B02</t>
  </si>
  <si>
    <t xml:space="preserve">2B01, 2B03, 5A02, 5A03, 5B02</t>
  </si>
  <si>
    <t xml:space="preserve">2B03, 5B02</t>
  </si>
  <si>
    <t xml:space="preserve">2B01, 2B02, 5B02</t>
  </si>
  <si>
    <t xml:space="preserve">2D01, 2D02, 2D03, 6A01</t>
  </si>
  <si>
    <t xml:space="preserve">4E03, 6B01</t>
  </si>
  <si>
    <t xml:space="preserve">Levier commun</t>
  </si>
  <si>
    <t xml:space="preserve">2D03, 6B01</t>
  </si>
  <si>
    <t xml:space="preserve">DAPD01-a</t>
  </si>
  <si>
    <t xml:space="preserve">Effacement  malveillant de données — par un utilisateur autorisé  (dont le personnel ayant des droits privilégiés)</t>
  </si>
  <si>
    <t xml:space="preserve">Partage au moins un service de réduction avec un scénario retenu (DAPD02, DAPD03, DAPI01-b) : bénéficie en partie des mêmes projets ; non retenu pour garder une sélection courte</t>
  </si>
  <si>
    <t xml:space="preserve">3A08, 4A03, 4A11</t>
  </si>
  <si>
    <t xml:space="preserve">SADC, SUAI</t>
  </si>
  <si>
    <t xml:space="preserve">DAPD01-b</t>
  </si>
  <si>
    <t xml:space="preserve">Effacement  malveillant de données — par une personne non autorisée</t>
  </si>
  <si>
    <t xml:space="preserve">Partage au moins un service de réduction avec un scénario retenu (DAPD02, DAPI01-a, DAPC01-b) : bénéficie en partie des mêmes projets ; non retenu pour garder une sélection courte</t>
  </si>
  <si>
    <t xml:space="preserve">3A04, 3A07, 4A03</t>
  </si>
  <si>
    <t xml:space="preserve">CASA, SADC</t>
  </si>
  <si>
    <t xml:space="preserve">DAPD05-a</t>
  </si>
  <si>
    <t xml:space="preserve">Altération massive ou incohérence accidentelle de données les rendant inutilisables — due à une erreur de procédure, lors d'une opération de maintenance</t>
  </si>
  <si>
    <t xml:space="preserve">Partage au moins un service de réduction avec un scénario retenu (DAPD02, DBUD03) : bénéficie en partie des mêmes projets ; non retenu pour garder une sélection courte</t>
  </si>
  <si>
    <t xml:space="preserve">4A03, 4A09, 7B09</t>
  </si>
  <si>
    <t xml:space="preserve">DAPD05-b</t>
  </si>
  <si>
    <t xml:space="preserve">Altération massive ou incohérence accidentelle de données les rendant inutilisables — due à une erreur de procédure d'exploitation</t>
  </si>
  <si>
    <t xml:space="preserve">4A03, 4C02</t>
  </si>
  <si>
    <t xml:space="preserve">DAPD06-a</t>
  </si>
  <si>
    <t xml:space="preserve">Falsification massive ou incohérences de données les rendant inutilisables — pendant une opération de maintenance</t>
  </si>
  <si>
    <t xml:space="preserve">DAPD06-b</t>
  </si>
  <si>
    <t xml:space="preserve">Falsification massive ou incohérences de données les rendant inutilisables — effectuée volontairement par un utilisateur autorisé (dont le personnel ayant des droits privilégiés)</t>
  </si>
  <si>
    <t xml:space="preserve">DAPD06-c</t>
  </si>
  <si>
    <t xml:space="preserve">Falsification massive ou incohérences de données les rendant inutilisables — effectuée volontairement par un tiers non autorisé</t>
  </si>
  <si>
    <t xml:space="preserve">DAPD09</t>
  </si>
  <si>
    <t xml:space="preserve">Perte accidentelle ou oubli de document ou de media</t>
  </si>
  <si>
    <t xml:space="preserve">Non prioritaire</t>
  </si>
  <si>
    <t xml:space="preserve">Aucun projet décidé n'agit sur ses services (4A09, 5A03, 7B09) ; reste au niveau 3 après le plan : non évalué dans cette itération, évaluation à M6 (onglet Risques résiduels).</t>
  </si>
  <si>
    <t xml:space="preserve">4A09, 5A03, 7B09</t>
  </si>
  <si>
    <t xml:space="preserve">Aucun projet décidé n'agit sur ses services (5A02, 5A03) ; reste au niveau 3 après le plan : non évalué dans cette itération, évaluation à M6 (onglet Risques résiduels).</t>
  </si>
  <si>
    <t xml:space="preserve">5A02, 5A03</t>
  </si>
  <si>
    <t xml:space="preserve">DAPI03-b</t>
  </si>
  <si>
    <t xml:space="preserve">Falsification ou altération de données applicatives en transit — par action volontaire commise par une personne dotée de droits privilégiés</t>
  </si>
  <si>
    <t xml:space="preserve">Partage au moins un service de réduction avec un scénario retenu (DAPD03, DAPI01-b, DAPC01-a) : bénéficie en partie des mêmes projets ; non retenu pour garder une sélection courte</t>
  </si>
  <si>
    <t xml:space="preserve">3A08, 5A01, 5B01, 5E04</t>
  </si>
  <si>
    <t xml:space="preserve">SUAI, CHED</t>
  </si>
  <si>
    <t xml:space="preserve">Aucun projet décidé n'agit sur ses services (5A03, 5A04) ; reste au niveau 3 après le plan : non évalué dans cette itération, évaluation à M6 (onglet Risques résiduels).</t>
  </si>
  <si>
    <t xml:space="preserve">5A03, 5A04</t>
  </si>
  <si>
    <t xml:space="preserve">Fuite lors d'une opération de maintenance, notamment par le prestataire qui administre le NAS (H-26). Aucun projet décidé n'agit (4A09, 5B02) : non évalué dans cette itération ; journalisation des comptes du prestataire (A11) ; projet COMA, qui le ramène à 2 sur copie, proposé en phase 2.</t>
  </si>
  <si>
    <t xml:space="preserve">4A09, 5B02</t>
  </si>
  <si>
    <t xml:space="preserve">Aucun projet décidé n'agit sur ses services (4E03, 5B02) ; reste au niveau 3 après le plan : non évalué dans cette itération, évaluation à M6 (onglet Risques résiduels).</t>
  </si>
  <si>
    <t xml:space="preserve">4E03, 5B02</t>
  </si>
  <si>
    <t xml:space="preserve">DBUC01-a</t>
  </si>
  <si>
    <t xml:space="preserve">Téléchargement, duplication ou diffusion volontaire de fichiers de données , incluant les fichiers relatifs aux agendas et contacts — fichiers de données bureautiques partagées, par un utilisateur autorisé (dont le personnel doté de droits privilégiés)</t>
  </si>
  <si>
    <t xml:space="preserve">3A08, 4A11, 6B01</t>
  </si>
  <si>
    <t xml:space="preserve">SUAI, CHDB</t>
  </si>
  <si>
    <t xml:space="preserve">3A04, 3A07, 6B01</t>
  </si>
  <si>
    <t xml:space="preserve">CASA, CHDB</t>
  </si>
  <si>
    <t xml:space="preserve">2D03, 6A01, 6B01</t>
  </si>
  <si>
    <t xml:space="preserve">4A09, 6B01</t>
  </si>
  <si>
    <t xml:space="preserve">DEXD02-a</t>
  </si>
  <si>
    <t xml:space="preserve">Effacement  volontaire de fichier de données — par un utilisateur autorisé (dont le personnel ayant des droits privilégiés)</t>
  </si>
  <si>
    <t xml:space="preserve">Partage au moins un service de réduction avec un scénario retenu (DEXD01) : bénéficie en partie des mêmes projets ; non retenu pour garder une sélection courte</t>
  </si>
  <si>
    <t xml:space="preserve">DEXD02-b</t>
  </si>
  <si>
    <t xml:space="preserve">Effacement  volontaire de fichier de données — par une personne non autorisée</t>
  </si>
  <si>
    <t xml:space="preserve">Partage au moins un service de réduction avec un scénario retenu (DEXD01, DEXC01) : bénéficie en partie des mêmes projets ; non retenu pour garder une sélection courte</t>
  </si>
  <si>
    <t xml:space="preserve">3A09, 4A04</t>
  </si>
  <si>
    <t xml:space="preserve">DIDE, CASE</t>
  </si>
  <si>
    <t xml:space="preserve">3A09, 5F02</t>
  </si>
  <si>
    <t xml:space="preserve">SEXD01</t>
  </si>
  <si>
    <t xml:space="preserve">Absence de partenaire ou de prestataire nécessaire à l'accès aux services externalisés</t>
  </si>
  <si>
    <t xml:space="preserve">Regroupé avec SEXD02 dans RP-4 : même actif (S02), même gravité (3, puis 2 après le plan), même traitement (PSSE, DIDE) ; la disparition d'un prestataire reste traitée par la réversibilité des contrats (A06) et le mode dégradé (A07).</t>
  </si>
  <si>
    <t xml:space="preserve">1E03, 5D02</t>
  </si>
  <si>
    <t xml:space="preserve">Non évalué dans cette itération : ses services de réduction ne sont pas tous audités et restent au plancher du niveau 1, ce qui peut gonfler sa gravité ; l'absence d'incident connu ne prouve pas l'absence de risque (R-05). Évaluation à M6, avec le diagnostic étendu.</t>
  </si>
  <si>
    <t xml:space="preserve">5C01</t>
  </si>
  <si>
    <t xml:space="preserve">5E04</t>
  </si>
  <si>
    <t xml:space="preserve">4E01</t>
  </si>
  <si>
    <t xml:space="preserve">5A01, 5B01, 5E04</t>
  </si>
  <si>
    <t xml:space="preserve">5E02</t>
  </si>
  <si>
    <t xml:space="preserve">2D05</t>
  </si>
  <si>
    <t xml:space="preserve">CEPD01</t>
  </si>
  <si>
    <t xml:space="preserve">Perte accidentelle de courriel en cours d'émission ou de réception — due à une erreur de procédure, une panne transitoire d'équipement ou une erreur de transmission irrécupérable</t>
  </si>
  <si>
    <t xml:space="preserve">5F01</t>
  </si>
  <si>
    <t xml:space="preserve">5F01, 5G01</t>
  </si>
  <si>
    <t xml:space="preserve">5G01</t>
  </si>
  <si>
    <t xml:space="preserve">DBUD01-a</t>
  </si>
  <si>
    <t xml:space="preserve">Effacement malveillant de données bureautiques, incluant celles relatives aux agendas et contacts — par un utilisateur autorisé (dont le personnel ayant des droits privilégiés)</t>
  </si>
  <si>
    <t xml:space="preserve">Gravité tolérée</t>
  </si>
  <si>
    <t xml:space="preserve">Gravité actuelle 2 : risque toléré selon la grille (guide p.16)</t>
  </si>
  <si>
    <t xml:space="preserve">3A08, 4A11, 6B04</t>
  </si>
  <si>
    <t xml:space="preserve">DBUD01-b</t>
  </si>
  <si>
    <t xml:space="preserve">Effacement malveillant de données bureautiques, incluant celles relatives aux agendas et contacts — sur un serveur de données partagées, par une personne non autorisée</t>
  </si>
  <si>
    <t xml:space="preserve">DBUD01-c</t>
  </si>
  <si>
    <t xml:space="preserve">Effacement malveillant de données bureautiques, incluant celles relatives aux agendas et contacts — sur le poste de travail, par une personne non autorisée</t>
  </si>
  <si>
    <t xml:space="preserve">2D03, 6A01, 6B04</t>
  </si>
  <si>
    <t xml:space="preserve">DBUD02</t>
  </si>
  <si>
    <t xml:space="preserve">Effacement accidentel de fichiers de données, incluant les fichiers relatifs aux agendas et contacts (sur un serveur de données partagées ou sur le poste de travail)</t>
  </si>
  <si>
    <t xml:space="preserve">4A03, 6B04</t>
  </si>
  <si>
    <t xml:space="preserve">DBUD04</t>
  </si>
  <si>
    <t xml:space="preserve">Destruction logique totale (fichiers et leurs sauvegardes) par un membre du personnel ayant des droits privilégiés</t>
  </si>
  <si>
    <t xml:space="preserve">DBUD05</t>
  </si>
  <si>
    <t xml:space="preserve">DBUD06</t>
  </si>
  <si>
    <t xml:space="preserve">Falsification massive ou incohérences de données les rendant inutilisables, suite à une erreur utilisateur, sur un serveur de données partagées ou sur le poste de travail,</t>
  </si>
  <si>
    <t xml:space="preserve">DBUD07</t>
  </si>
  <si>
    <t xml:space="preserve">Effacement de donnée bureautique en transit</t>
  </si>
  <si>
    <t xml:space="preserve">DBUD08</t>
  </si>
  <si>
    <t xml:space="preserve">DBUD09</t>
  </si>
  <si>
    <t xml:space="preserve">Perte ou oubli de media support de données bureautiques</t>
  </si>
  <si>
    <t xml:space="preserve">DBUD10-a</t>
  </si>
  <si>
    <t xml:space="preserve">Vol physique de media support de données bureautiques — par une personne non autorisée à pénétrer dans les espaces de bureau</t>
  </si>
  <si>
    <t xml:space="preserve">2D01, 2D02, 2D03, 2E01, 6B04</t>
  </si>
  <si>
    <t xml:space="preserve">DBUD10-b</t>
  </si>
  <si>
    <t xml:space="preserve">Vol physique de media support de données bureautiques — par une personne autorisée à pénétrer dans les espaces de bureau (dont le personnel doté de droits privilégiés)</t>
  </si>
  <si>
    <t xml:space="preserve">2D03, 2E01, 6B04</t>
  </si>
  <si>
    <t xml:space="preserve">DBUD11</t>
  </si>
  <si>
    <t xml:space="preserve">2A03, 2E01, 6B04</t>
  </si>
  <si>
    <t xml:space="preserve">DBUD12</t>
  </si>
  <si>
    <t xml:space="preserve">2E01, 6B04</t>
  </si>
  <si>
    <t xml:space="preserve">DBUD13</t>
  </si>
  <si>
    <t xml:space="preserve">DBUD14</t>
  </si>
  <si>
    <t xml:space="preserve">DBUI01-a</t>
  </si>
  <si>
    <t xml:space="preserve">Falsification ou altération malveillante de données, incluant celles relatives aux agendas et contacts — sur serveur de données partagées, par une personne non autorisée</t>
  </si>
  <si>
    <t xml:space="preserve">3A04, 3A07, 6B01, 6B02</t>
  </si>
  <si>
    <t xml:space="preserve">DBUI01-b</t>
  </si>
  <si>
    <t xml:space="preserve">Falsification ou altération malveillante de données, incluant celles relatives aux agendas et contacts — sur serveur de données, par un utilisateur autorisé (dont le personnel doté de droits privilégiés)</t>
  </si>
  <si>
    <t xml:space="preserve">3A08, 4A11, 6B01, 6B02</t>
  </si>
  <si>
    <t xml:space="preserve">DBUI01-c</t>
  </si>
  <si>
    <t xml:space="preserve">Falsification ou altération malveillante de données, incluant celles relatives aux agendas et contacts — sur le poste de travail, par une personne non autorisée</t>
  </si>
  <si>
    <t xml:space="preserve">2D03, 6A01, 6B01, 6B02</t>
  </si>
  <si>
    <t xml:space="preserve">DBUI02</t>
  </si>
  <si>
    <t xml:space="preserve">Altération accidentelle de données, incluant celles relatives aux agendas et contacts</t>
  </si>
  <si>
    <t xml:space="preserve">6B02</t>
  </si>
  <si>
    <t xml:space="preserve">DBUI03-a</t>
  </si>
  <si>
    <t xml:space="preserve">Falsification ou altération de données bureautiques en transit — par action volontaire menée par une personne non autorisée (après captation sur le réseau)</t>
  </si>
  <si>
    <t xml:space="preserve">DBUI03-b</t>
  </si>
  <si>
    <t xml:space="preserve">Falsification ou altération de données bureautiques en transit — par action  volontaire menée par une personne dotée de droits privilégiés</t>
  </si>
  <si>
    <t xml:space="preserve">DBUI04</t>
  </si>
  <si>
    <t xml:space="preserve">Echange physique (avec un média au contenu modifié) — dans la zone de bureaux</t>
  </si>
  <si>
    <t xml:space="preserve">6B01, 6B02</t>
  </si>
  <si>
    <t xml:space="preserve">CEPC01</t>
  </si>
  <si>
    <t xml:space="preserve">Captation ou diffusion volontaire de courriel</t>
  </si>
  <si>
    <t xml:space="preserve">CEPC02</t>
  </si>
  <si>
    <t xml:space="preserve">Diffusion accidentelle de courriel</t>
  </si>
  <si>
    <t xml:space="preserve">CEPC03</t>
  </si>
  <si>
    <t xml:space="preserve">Vol physique ou consultation pendant la distribution de courrier</t>
  </si>
  <si>
    <t xml:space="preserve">DPUD01</t>
  </si>
  <si>
    <t xml:space="preserve">4A03, 5A05</t>
  </si>
  <si>
    <t xml:space="preserve">DPUI01-a</t>
  </si>
  <si>
    <t xml:space="preserve">Falsification ou altération de données — par un utilisateur autorisé (dont le personnel ayant des droits privilégiés)</t>
  </si>
  <si>
    <t xml:space="preserve">3A08, 4A11, 5A05</t>
  </si>
  <si>
    <t xml:space="preserve">DPUI01-b</t>
  </si>
  <si>
    <t xml:space="preserve">Falsification ou altération de données — par une personne non autorisée</t>
  </si>
  <si>
    <t xml:space="preserve">3A04, 3A07, 5A05</t>
  </si>
  <si>
    <t xml:space="preserve">SAPD01-a</t>
  </si>
  <si>
    <t xml:space="preserve">Effacement d'élément clé de la configuration système (logiciel, paramétrage, etc.) — par une personne non autorisée</t>
  </si>
  <si>
    <t xml:space="preserve">3A04, 3A07, 3A08, 4A03, 4A11</t>
  </si>
  <si>
    <t xml:space="preserve">CASA, SADC, SUAI</t>
  </si>
  <si>
    <t xml:space="preserve">SAPD01-b</t>
  </si>
  <si>
    <t xml:space="preserve">Effacement d'élément clé de la configuration système (logiciel, paramétrage, etc.) — par une personne dotée de droits privilégiés</t>
  </si>
  <si>
    <t xml:space="preserve">3A08, 4A03</t>
  </si>
  <si>
    <t xml:space="preserve">SAPD02</t>
  </si>
  <si>
    <t xml:space="preserve">Effacement ou disparition de moyens d'accès nécessaire à la mise en opération d'application (clés de chiffrement, jetons, éléments nécessaires à l'identification et à l'authentification, licences, etc.)</t>
  </si>
  <si>
    <t xml:space="preserve">5D04</t>
  </si>
  <si>
    <t xml:space="preserve">SAPD03</t>
  </si>
  <si>
    <t xml:space="preserve">Absence de personnel ou de partenaire nécessaire à la mise ou au maintien en opération</t>
  </si>
  <si>
    <t xml:space="preserve">SAPD04</t>
  </si>
  <si>
    <t xml:space="preserve">Défaut dans la gestion des évolutions rendant les logiciels non fonctionnels</t>
  </si>
  <si>
    <t xml:space="preserve">7B02</t>
  </si>
  <si>
    <t xml:space="preserve">SAPD05</t>
  </si>
  <si>
    <t xml:space="preserve">Bug bloquant dû à une erreur de conception ou d'écriture de programme (interne)</t>
  </si>
  <si>
    <t xml:space="preserve">4C01</t>
  </si>
  <si>
    <t xml:space="preserve">SAPD06</t>
  </si>
  <si>
    <t xml:space="preserve">Attaque en blocage de comptes ou saturation des serveurs</t>
  </si>
  <si>
    <t xml:space="preserve">4A10, 4C05</t>
  </si>
  <si>
    <t xml:space="preserve">SAPD07</t>
  </si>
  <si>
    <t xml:space="preserve">Falsification ou altération de fonctionnalités logicielles (altération détectée)</t>
  </si>
  <si>
    <t xml:space="preserve">4A03, 5A03</t>
  </si>
  <si>
    <t xml:space="preserve">SAPD08</t>
  </si>
  <si>
    <t xml:space="preserve">Perte ou altération de message transactionnel rendant le service non fonctionnel</t>
  </si>
  <si>
    <t xml:space="preserve">SAPD09</t>
  </si>
  <si>
    <t xml:space="preserve">4A14, 4E01</t>
  </si>
  <si>
    <t xml:space="preserve">SAPD10</t>
  </si>
  <si>
    <t xml:space="preserve">Perte ou oubli de document ou de media</t>
  </si>
  <si>
    <t xml:space="preserve">4A14</t>
  </si>
  <si>
    <t xml:space="preserve">SAPD11-a</t>
  </si>
  <si>
    <t xml:space="preserve">Vol physique de document ou de media dans les locaux de l'exploitation — par une personne non autorisée</t>
  </si>
  <si>
    <t xml:space="preserve">2B01, 2B02, 2B03, 4A14</t>
  </si>
  <si>
    <t xml:space="preserve">SAPD11-b</t>
  </si>
  <si>
    <t xml:space="preserve">Vol physique de document ou de media dans les locaux de l'exploitation — par une personne autorisée à y pénétrer (dont le personnel doté de droits privilégiés)</t>
  </si>
  <si>
    <t xml:space="preserve">2B03, 4A14</t>
  </si>
  <si>
    <t xml:space="preserve">SAPD12</t>
  </si>
  <si>
    <t xml:space="preserve">4A14, 4E02</t>
  </si>
  <si>
    <t xml:space="preserve">SAPD13</t>
  </si>
  <si>
    <t xml:space="preserve">2A03, 4A14, 4E02</t>
  </si>
  <si>
    <t xml:space="preserve">SAPD14</t>
  </si>
  <si>
    <t xml:space="preserve">SAPD15</t>
  </si>
  <si>
    <t xml:space="preserve">SAPD16-a</t>
  </si>
  <si>
    <t xml:space="preserve">Vol physique dans les locaux de l'exploitation — par une personne autorisée (dont le personnel doté de droits privilégiés)</t>
  </si>
  <si>
    <t xml:space="preserve">2B03, 3B01</t>
  </si>
  <si>
    <t xml:space="preserve">SAPD16-b</t>
  </si>
  <si>
    <t xml:space="preserve">Vol physique dans les locaux de l'exploitation — par une personne non autorisée</t>
  </si>
  <si>
    <t xml:space="preserve">2B01, 2B02, 2B03, 3B01</t>
  </si>
  <si>
    <t xml:space="preserve">SAPD17</t>
  </si>
  <si>
    <t xml:space="preserve">SAPD18</t>
  </si>
  <si>
    <t xml:space="preserve">2A03, 4C03</t>
  </si>
  <si>
    <t xml:space="preserve">SAPD19</t>
  </si>
  <si>
    <t xml:space="preserve">Absence de personnel ou de partenaire critique</t>
  </si>
  <si>
    <t xml:space="preserve">1E01, 1E03</t>
  </si>
  <si>
    <t xml:space="preserve">SAPD20</t>
  </si>
  <si>
    <t xml:space="preserve">Absence de services généraux (Energie, climatisation, etc.)</t>
  </si>
  <si>
    <t xml:space="preserve">2C02, 4C03</t>
  </si>
  <si>
    <t xml:space="preserve">SAPD21</t>
  </si>
  <si>
    <t xml:space="preserve">Panne ou défaillance d'équipement</t>
  </si>
  <si>
    <t xml:space="preserve">3B01, 4C01</t>
  </si>
  <si>
    <t xml:space="preserve">SAPD22</t>
  </si>
  <si>
    <t xml:space="preserve">Saturation malveillante d'équipements informatiques ou réseaux ou blocage système (virus, ransomware, etc.)</t>
  </si>
  <si>
    <t xml:space="preserve">Étudié puis écarté (H-20) : niveau 2, donc toléré ; le réseau reste couvert par DBUC05 ; le retenir porterait la sélection à 21, au-delà de la limite de 20 (étape 19).</t>
  </si>
  <si>
    <t xml:space="preserve">SAPD23</t>
  </si>
  <si>
    <t xml:space="preserve">Effacement généralisé de configurations (programmes, codes, paramétrage, etc.) des équipements des utilisateurs — par une personne dotée de droits privilégiés</t>
  </si>
  <si>
    <t xml:space="preserve">3A08, 6B07</t>
  </si>
  <si>
    <t xml:space="preserve">SAPD25</t>
  </si>
  <si>
    <t xml:space="preserve">Indisponibilité globale des locaux due à un accident grave ou à une interdiction externe</t>
  </si>
  <si>
    <t xml:space="preserve">1E02</t>
  </si>
  <si>
    <t xml:space="preserve">SAPD26</t>
  </si>
  <si>
    <t xml:space="preserve">1E02, 2C02</t>
  </si>
  <si>
    <t xml:space="preserve">SAPI01-a</t>
  </si>
  <si>
    <t xml:space="preserve">Falsification ou altération de fonctionnalités logicielles ou de paramètres de fonctionnement — par action malveillante (non détectée) menée par un membre du personnel doté de droits privilégiés</t>
  </si>
  <si>
    <t xml:space="preserve">SAPI01-b</t>
  </si>
  <si>
    <t xml:space="preserve">Falsification ou altération de fonctionnalités logicielles ou de paramètres de fonctionnement — par action malveillante (non détectée) menée lors d'une opération de maintenance</t>
  </si>
  <si>
    <t xml:space="preserve">4A09, 7B08</t>
  </si>
  <si>
    <t xml:space="preserve">SAPI01-c</t>
  </si>
  <si>
    <t xml:space="preserve">Falsification ou altération de fonctionnalités logicielles ou de paramètres de fonctionnement — par action malveillante (non détectée) menée par une personne usurpant des droits privilégiés</t>
  </si>
  <si>
    <t xml:space="preserve">3A07, 4B01</t>
  </si>
  <si>
    <t xml:space="preserve">SAPI02</t>
  </si>
  <si>
    <t xml:space="preserve">Altérations ou pertes (non détectées) de messages transactionnels</t>
  </si>
  <si>
    <t xml:space="preserve">SAPI03-a</t>
  </si>
  <si>
    <t xml:space="preserve">Echange physique (avec un média au contenu modifié), dans les locaux de l'exploitation — par une personne autorisée  (dont le personnel doté de droits privilégiés)</t>
  </si>
  <si>
    <t xml:space="preserve">2B03, 4B01</t>
  </si>
  <si>
    <t xml:space="preserve">SAPI03-b</t>
  </si>
  <si>
    <t xml:space="preserve">Echange physique (avec un média au contenu modifié), dans les locaux de l'exploitation — par une personne non autorisée</t>
  </si>
  <si>
    <t xml:space="preserve">2B01, 2B02, 2B03, 4B01</t>
  </si>
  <si>
    <t xml:space="preserve">SAPI04-a</t>
  </si>
  <si>
    <t xml:space="preserve">Altération matérielle d'équipement ou de liaisons (y compris modification de paramétrage par accès physique, inhibition ou suppression d’un dispositif) — par une personne autorisée (dont le personnel doté de droits privilégiés)</t>
  </si>
  <si>
    <t xml:space="preserve">SAPI04-b</t>
  </si>
  <si>
    <t xml:space="preserve">Altération matérielle d'équipement ou de liaisons (y compris modification de paramétrage par accès physique, inhibition ou suppression d’un dispositif) — par une personne non autorisée</t>
  </si>
  <si>
    <t xml:space="preserve">2B01, 2B02, 2B03</t>
  </si>
  <si>
    <t xml:space="preserve">SAPI05-a</t>
  </si>
  <si>
    <t xml:space="preserve">Altération fonctionnelle d'équipement utilisateur (y compris modification de paramétrage par accès physique, inhibition ou suppression d’un dispositif) — par accès physique au poste de travail, dans les bureaux, par une personne autorisée (dont le personnel doté de droits privilégiés)</t>
  </si>
  <si>
    <t xml:space="preserve">2D03, 6A01</t>
  </si>
  <si>
    <t xml:space="preserve">SAPI05-b</t>
  </si>
  <si>
    <t xml:space="preserve">Altération fonctionnelle d'équipement utilisateur (y compris modification de paramétrage par accès physique, inhibition ou suppression d’un dispositif) — par accès physique au poste de travail, dans les bureaux, par une personne non autorisée</t>
  </si>
  <si>
    <t xml:space="preserve">SAPI05-c</t>
  </si>
  <si>
    <t xml:space="preserve">Altération fonctionnelle d'équipement utilisateur (y compris modification de paramétrage par accès physique, inhibition ou suppression d’un dispositif) — altération fonctionnelle d'équipement utilisateur, lors d'une opération de maintenance</t>
  </si>
  <si>
    <t xml:space="preserve">4A09</t>
  </si>
  <si>
    <t xml:space="preserve">SAPI05-d</t>
  </si>
  <si>
    <t xml:space="preserve">Altération fonctionnelle d'équipement utilisateur (y compris modification de paramétrage par accès physique, inhibition ou suppression d’un dispositif) — altération fonctionnelle d'équipement utilisateur, par accès physique au poste de travail mobile, en dehors de l'entreprise</t>
  </si>
  <si>
    <t xml:space="preserve">6A01</t>
  </si>
  <si>
    <t xml:space="preserve">SEXI01</t>
  </si>
  <si>
    <t xml:space="preserve">Falsification ou altération de fonctionnalités logicielles ou de paramètres de fonctionnement</t>
  </si>
  <si>
    <t xml:space="preserve">5F03</t>
  </si>
  <si>
    <t xml:space="preserve">SPUD01</t>
  </si>
  <si>
    <t xml:space="preserve">Saturation malveillante des serveurs de publication</t>
  </si>
  <si>
    <t xml:space="preserve">5C03</t>
  </si>
  <si>
    <t xml:space="preserve">SPUI01-a</t>
  </si>
  <si>
    <t xml:space="preserve">Altération malveillante de processus d'interaction avec le public assuré par la plateforme de publication — par un membre du personnel doté de droits privilégiés</t>
  </si>
  <si>
    <t xml:space="preserve">3A08, 5A06</t>
  </si>
  <si>
    <t xml:space="preserve">SPUI01-b</t>
  </si>
  <si>
    <t xml:space="preserve">Altération malveillante de processus d'interaction avec le public assuré par la plateforme de publication — lors d'une opération de maintenance</t>
  </si>
  <si>
    <t xml:space="preserve">5A06</t>
  </si>
  <si>
    <t xml:space="preserve">SPUI01-c</t>
  </si>
  <si>
    <t xml:space="preserve">Altération malveillante de processus d'interaction avec le public assuré par la plateforme de publication — par une personne usurpant des droits privilégiés</t>
  </si>
  <si>
    <t xml:space="preserve">3A07, 3A08, 4B01, 5A06</t>
  </si>
  <si>
    <t xml:space="preserve">CASA, SUAI</t>
  </si>
  <si>
    <t xml:space="preserve">PGCE02</t>
  </si>
  <si>
    <t xml:space="preserve">Non application volontaire de procédure adaptée au respect des exigences légales ou contractuelles</t>
  </si>
  <si>
    <t xml:space="preserve">8A02</t>
  </si>
  <si>
    <t xml:space="preserve">PGCE03</t>
  </si>
  <si>
    <t xml:space="preserve">Application d'une procédure inadaptée au respect des exigences légales ou contractuelles (autre que celle qui aurait du être déclenchée) par incompréhension ou conflits entre procédures</t>
  </si>
  <si>
    <t xml:space="preserve">8A03</t>
  </si>
  <si>
    <t xml:space="preserve">Comptage</t>
  </si>
</sst>
</file>

<file path=xl/styles.xml><?xml version="1.0" encoding="utf-8"?>
<styleSheet xmlns="http://schemas.openxmlformats.org/spreadsheetml/2006/main">
  <numFmts count="5">
    <numFmt numFmtId="164" formatCode="General"/>
    <numFmt numFmtId="165" formatCode="General"/>
    <numFmt numFmtId="166" formatCode="dd/mm/yyyy"/>
    <numFmt numFmtId="167" formatCode="mm/yyyy"/>
    <numFmt numFmtId="168" formatCode=";;;"/>
  </numFmts>
  <fonts count="14">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9"/>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b val="true"/>
      <sz val="10"/>
      <color rgb="FF0000FF"/>
      <name val="Arial"/>
      <family val="0"/>
      <charset val="1"/>
    </font>
    <font>
      <sz val="8"/>
      <color rgb="FF888888"/>
      <name val="Arial"/>
      <family val="0"/>
      <charset val="1"/>
    </font>
    <font>
      <sz val="10"/>
      <name val="Arial"/>
      <family val="2"/>
    </font>
    <font>
      <b val="true"/>
      <sz val="11"/>
      <color rgb="FF1F3A5F"/>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FFFF00"/>
        <bgColor rgb="FFFFFF00"/>
      </patternFill>
    </fill>
    <fill>
      <patternFill patternType="solid">
        <fgColor rgb="FFF2F4F7"/>
        <bgColor rgb="FFFFFFFF"/>
      </patternFill>
    </fill>
  </fills>
  <borders count="2">
    <border diagonalUp="false" diagonalDown="false">
      <left/>
      <right/>
      <top/>
      <bottom/>
      <diagonal/>
    </border>
    <border diagonalUp="false" diagonalDown="false">
      <left style="thin">
        <color rgb="FFB7BEC9"/>
      </left>
      <right style="thin">
        <color rgb="FFB7BEC9"/>
      </right>
      <top style="thin">
        <color rgb="FFB7BEC9"/>
      </top>
      <bottom style="thin">
        <color rgb="FFB7BE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FFFFFF"/>
      </font>
      <fill>
        <patternFill>
          <bgColor rgb="FFC00000"/>
        </patternFill>
      </fill>
    </dxf>
    <dxf>
      <font>
        <name val="Arial"/>
        <charset val="1"/>
        <family val="0"/>
        <b val="1"/>
        <color rgb="FF000000"/>
      </font>
      <fill>
        <patternFill>
          <bgColor rgb="FFF4B183"/>
        </patternFill>
      </fill>
    </dxf>
    <dxf>
      <font>
        <name val="Arial"/>
        <charset val="1"/>
        <family val="0"/>
        <b val="1"/>
        <color rgb="FF000000"/>
      </font>
      <fill>
        <patternFill>
          <bgColor rgb="FFFFE699"/>
        </patternFill>
      </fill>
    </dxf>
    <dxf>
      <font>
        <name val="Arial"/>
        <charset val="1"/>
        <family val="0"/>
        <b val="1"/>
        <color rgb="FF000000"/>
      </font>
      <fill>
        <patternFill>
          <bgColor rgb="FFC6E0B4"/>
        </patternFill>
      </fill>
    </dxf>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4B183"/>
          <bgColor rgb="FF000000"/>
        </patternFill>
      </fill>
    </dxf>
    <dxf>
      <fill>
        <patternFill patternType="solid">
          <fgColor rgb="FFFFE699"/>
          <bgColor rgb="FF000000"/>
        </patternFill>
      </fill>
    </dxf>
    <dxf>
      <fill>
        <patternFill>
          <bgColor rgb="FF1F3A5F"/>
        </patternFill>
      </fill>
    </dxf>
    <dxf>
      <fill>
        <patternFill>
          <bgColor rgb="FFF4B183"/>
        </patternFill>
      </fill>
    </dxf>
    <dxf>
      <fill>
        <patternFill>
          <bgColor rgb="FFFFE699"/>
        </patternFill>
      </fill>
    </dxf>
    <dxf>
      <fill>
        <patternFill>
          <bgColor rgb="FFDDEBF7"/>
        </patternFill>
      </fill>
    </dxf>
    <dxf>
      <fill>
        <patternFill patternType="solid">
          <fgColor rgb="FFC00000"/>
          <bgColor rgb="FF000000"/>
        </patternFill>
      </fill>
    </dxf>
    <dxf>
      <fill>
        <patternFill patternType="solid">
          <fgColor rgb="FF000000"/>
          <bgColor rgb="FF000000"/>
        </patternFill>
      </fill>
    </dxf>
    <dxf>
      <fill>
        <patternFill patternType="solid">
          <fgColor rgb="FFC6E0B4"/>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EC9"/>
      <rgbColor rgb="FF888888"/>
      <rgbColor rgb="FF9999FF"/>
      <rgbColor rgb="FF993366"/>
      <rgbColor rgb="FFF2F4F7"/>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183"/>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17.25" hidden="false" customHeight="true" outlineLevel="0" collapsed="false">
      <c r="A1" s="2" t="s">
        <v>0</v>
      </c>
    </row>
    <row r="2" customFormat="false" ht="15" hidden="false" customHeight="true" outlineLevel="0" collapsed="false">
      <c r="A2" s="3" t="s">
        <v>1</v>
      </c>
    </row>
    <row r="4" customFormat="false" ht="23.25" hidden="false" customHeight="true" outlineLevel="0" collapsed="false">
      <c r="A4" s="4" t="s">
        <v>2</v>
      </c>
      <c r="B4" s="5" t="s">
        <v>3</v>
      </c>
    </row>
    <row r="5" customFormat="false" ht="34.5" hidden="false" customHeight="true" outlineLevel="0" collapsed="false">
      <c r="A5" s="4" t="s">
        <v>4</v>
      </c>
      <c r="B5" s="5" t="s">
        <v>5</v>
      </c>
    </row>
    <row r="6" customFormat="false" ht="23.25" hidden="false" customHeight="true" outlineLevel="0" collapsed="false">
      <c r="A6" s="4" t="s">
        <v>6</v>
      </c>
      <c r="B6" s="5" t="s">
        <v>7</v>
      </c>
    </row>
    <row r="7" customFormat="false" ht="23.25" hidden="false" customHeight="true" outlineLevel="0" collapsed="false">
      <c r="A7" s="4" t="s">
        <v>8</v>
      </c>
      <c r="B7" s="5" t="s">
        <v>9</v>
      </c>
    </row>
    <row r="8" customFormat="false" ht="23.25" hidden="false" customHeight="true" outlineLevel="0" collapsed="false">
      <c r="A8" s="4" t="s">
        <v>10</v>
      </c>
      <c r="B8" s="5" t="s">
        <v>11</v>
      </c>
    </row>
    <row r="9" customFormat="false" ht="23.25" hidden="false" customHeight="true" outlineLevel="0" collapsed="false">
      <c r="A9" s="4" t="s">
        <v>12</v>
      </c>
      <c r="B9" s="5" t="s">
        <v>13</v>
      </c>
    </row>
    <row r="10" customFormat="false" ht="23.25" hidden="false" customHeight="true" outlineLevel="0" collapsed="false">
      <c r="A10" s="4" t="s">
        <v>14</v>
      </c>
      <c r="B10" s="5" t="s">
        <v>15</v>
      </c>
    </row>
    <row r="11" customFormat="false" ht="34.5" hidden="false" customHeight="true" outlineLevel="0" collapsed="false">
      <c r="A11" s="4" t="s">
        <v>16</v>
      </c>
      <c r="B11" s="5" t="s">
        <v>17</v>
      </c>
    </row>
    <row r="12" customFormat="false" ht="23.25" hidden="false" customHeight="true" outlineLevel="0" collapsed="false">
      <c r="A12" s="4" t="s">
        <v>18</v>
      </c>
      <c r="B12" s="5" t="s">
        <v>19</v>
      </c>
    </row>
    <row r="13" customFormat="false" ht="23.25" hidden="false" customHeight="true" outlineLevel="0" collapsed="false">
      <c r="A13" s="4" t="s">
        <v>20</v>
      </c>
      <c r="B13" s="5" t="s">
        <v>21</v>
      </c>
    </row>
    <row r="14" customFormat="false" ht="34.5" hidden="false" customHeight="true" outlineLevel="0" collapsed="false">
      <c r="A14" s="4" t="s">
        <v>22</v>
      </c>
      <c r="B14" s="5" t="s">
        <v>23</v>
      </c>
    </row>
    <row r="15" customFormat="false" ht="15" hidden="false" customHeight="true" outlineLevel="0" collapsed="false">
      <c r="A15" s="4" t="s">
        <v>24</v>
      </c>
      <c r="B15" s="5" t="s">
        <v>25</v>
      </c>
    </row>
    <row r="16" customFormat="false" ht="23.25" hidden="false" customHeight="true" outlineLevel="0" collapsed="false">
      <c r="A16" s="4" t="s">
        <v>26</v>
      </c>
      <c r="B16" s="5" t="s">
        <v>27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30"/>
    <col collapsed="false" customWidth="true" hidden="false" outlineLevel="0" max="4" min="4" style="1" width="26"/>
    <col collapsed="false" customWidth="true" hidden="false" outlineLevel="0" max="5" min="5" style="1" width="16"/>
    <col collapsed="false" customWidth="true" hidden="false" outlineLevel="0" max="6" min="6" style="1" width="48"/>
    <col collapsed="false" customWidth="true" hidden="false" outlineLevel="0" max="7" min="7" style="1" width="44"/>
    <col collapsed="false" customWidth="true" hidden="false" outlineLevel="0" max="8" min="8" style="1" width="18"/>
    <col collapsed="false" customWidth="true" hidden="false" outlineLevel="0" max="11" min="9" style="1" width="10"/>
    <col collapsed="false" customWidth="true" hidden="false" outlineLevel="0" max="12" min="12" style="1" width="44"/>
    <col collapsed="false" customWidth="true" hidden="false" outlineLevel="0" max="14" min="13" style="1" width="14"/>
    <col collapsed="false" customWidth="true" hidden="false" outlineLevel="0" max="15" min="15" style="1" width="44"/>
    <col collapsed="false" customWidth="true" hidden="false" outlineLevel="0" max="16" min="16" style="1" width="10"/>
    <col collapsed="false" customWidth="true" hidden="false" outlineLevel="0" max="17" min="17" style="1" width="18"/>
  </cols>
  <sheetData>
    <row r="1" customFormat="false" ht="17.25" hidden="false" customHeight="true" outlineLevel="0" collapsed="false">
      <c r="A1" s="2" t="s">
        <v>28</v>
      </c>
    </row>
    <row r="2" customFormat="false" ht="15" hidden="false" customHeight="true" outlineLevel="0" collapsed="false">
      <c r="A2" s="3" t="s">
        <v>29</v>
      </c>
    </row>
    <row r="4" customFormat="false" ht="42" hidden="false" customHeight="true" outlineLevel="0" collapsed="false">
      <c r="A4" s="6" t="s">
        <v>30</v>
      </c>
      <c r="B4" s="6" t="s">
        <v>31</v>
      </c>
      <c r="C4" s="6" t="s">
        <v>32</v>
      </c>
      <c r="D4" s="6" t="s">
        <v>33</v>
      </c>
      <c r="E4" s="6" t="s">
        <v>34</v>
      </c>
      <c r="F4" s="6" t="s">
        <v>35</v>
      </c>
      <c r="G4" s="6" t="s">
        <v>36</v>
      </c>
      <c r="H4" s="6" t="s">
        <v>37</v>
      </c>
      <c r="I4" s="6" t="s">
        <v>38</v>
      </c>
      <c r="J4" s="6" t="s">
        <v>39</v>
      </c>
      <c r="K4" s="6" t="s">
        <v>40</v>
      </c>
      <c r="L4" s="6" t="s">
        <v>41</v>
      </c>
      <c r="M4" s="6" t="s">
        <v>42</v>
      </c>
      <c r="N4" s="6" t="s">
        <v>43</v>
      </c>
      <c r="O4" s="6" t="s">
        <v>44</v>
      </c>
      <c r="P4" s="6" t="s">
        <v>45</v>
      </c>
      <c r="Q4" s="6" t="s">
        <v>46</v>
      </c>
    </row>
    <row r="5" customFormat="false" ht="94.5" hidden="false" customHeight="true" outlineLevel="0" collapsed="false">
      <c r="A5" s="7" t="s">
        <v>47</v>
      </c>
      <c r="B5" s="8" t="s">
        <v>48</v>
      </c>
      <c r="C5" s="9" t="s">
        <v>49</v>
      </c>
      <c r="D5" s="8" t="str">
        <f aca="false">"Actuel "&amp;I5&amp;" ; après plan "&amp;J5&amp;" ; à terme "&amp;K5</f>
        <v>Actuel 4 ; après plan 3 ; à terme 2</v>
      </c>
      <c r="E5" s="10" t="s">
        <v>50</v>
      </c>
      <c r="F5" s="8" t="s">
        <v>51</v>
      </c>
      <c r="G5" s="8" t="s">
        <v>52</v>
      </c>
      <c r="H5" s="8" t="s">
        <v>53</v>
      </c>
      <c r="I5" s="11" t="n">
        <f aca="false">_xlfn.MAXIFS('Scénarios retenus'!$N$5:$N$24,'Scénarios retenus'!$B$5:$B$24,$A5)</f>
        <v>4</v>
      </c>
      <c r="J5" s="11" t="n">
        <f aca="false">_xlfn.MAXIFS('Scénarios retenus'!$Q$5:$Q$24,'Scénarios retenus'!$B$5:$B$24,$A5)</f>
        <v>3</v>
      </c>
      <c r="K5" s="11" t="n">
        <f aca="false">_xlfn.MAXIFS('Scénarios retenus'!$R$5:$R$24,'Scénarios retenus'!$B$5:$B$24,$A5)</f>
        <v>2</v>
      </c>
      <c r="L5" s="8" t="s">
        <v>54</v>
      </c>
      <c r="M5" s="8" t="s">
        <v>55</v>
      </c>
      <c r="N5" s="8" t="s">
        <v>56</v>
      </c>
      <c r="O5" s="8" t="s">
        <v>57</v>
      </c>
      <c r="P5" s="10" t="s">
        <v>58</v>
      </c>
      <c r="Q5" s="8" t="s">
        <v>59</v>
      </c>
    </row>
    <row r="6" customFormat="false" ht="69" hidden="false" customHeight="true" outlineLevel="0" collapsed="false">
      <c r="A6" s="7" t="s">
        <v>60</v>
      </c>
      <c r="B6" s="8" t="s">
        <v>61</v>
      </c>
      <c r="C6" s="9" t="s">
        <v>62</v>
      </c>
      <c r="D6" s="8" t="str">
        <f aca="false">"Actuel "&amp;I6&amp;" ; après plan "&amp;J6&amp;" ; à terme "&amp;K6</f>
        <v>Actuel 3 ; après plan 3 ; à terme 2</v>
      </c>
      <c r="E6" s="10" t="s">
        <v>63</v>
      </c>
      <c r="F6" s="8" t="s">
        <v>64</v>
      </c>
      <c r="G6" s="8" t="s">
        <v>65</v>
      </c>
      <c r="H6" s="8" t="s">
        <v>66</v>
      </c>
      <c r="I6" s="11" t="n">
        <f aca="false">_xlfn.MAXIFS('Scénarios retenus'!$N$5:$N$24,'Scénarios retenus'!$B$5:$B$24,$A6)</f>
        <v>3</v>
      </c>
      <c r="J6" s="11" t="n">
        <f aca="false">_xlfn.MAXIFS('Scénarios retenus'!$Q$5:$Q$24,'Scénarios retenus'!$B$5:$B$24,$A6)</f>
        <v>3</v>
      </c>
      <c r="K6" s="11" t="n">
        <f aca="false">_xlfn.MAXIFS('Scénarios retenus'!$R$5:$R$24,'Scénarios retenus'!$B$5:$B$24,$A6)</f>
        <v>2</v>
      </c>
      <c r="L6" s="8" t="s">
        <v>67</v>
      </c>
      <c r="M6" s="8" t="s">
        <v>68</v>
      </c>
      <c r="N6" s="8" t="s">
        <v>69</v>
      </c>
      <c r="O6" s="8" t="s">
        <v>58</v>
      </c>
      <c r="P6" s="10" t="s">
        <v>70</v>
      </c>
      <c r="Q6" s="8" t="s">
        <v>59</v>
      </c>
    </row>
    <row r="7" customFormat="false" ht="94.5" hidden="false" customHeight="true" outlineLevel="0" collapsed="false">
      <c r="A7" s="7" t="s">
        <v>71</v>
      </c>
      <c r="B7" s="8" t="s">
        <v>72</v>
      </c>
      <c r="C7" s="9" t="s">
        <v>73</v>
      </c>
      <c r="D7" s="8" t="str">
        <f aca="false">"Actuel "&amp;I7&amp;" ; après plan "&amp;J7&amp;" ; à terme "&amp;K7</f>
        <v>Actuel 3 ; après plan 2 ; à terme 2</v>
      </c>
      <c r="E7" s="10" t="s">
        <v>63</v>
      </c>
      <c r="F7" s="8" t="s">
        <v>74</v>
      </c>
      <c r="G7" s="8" t="s">
        <v>75</v>
      </c>
      <c r="H7" s="8" t="s">
        <v>76</v>
      </c>
      <c r="I7" s="11" t="n">
        <f aca="false">_xlfn.MAXIFS('Scénarios retenus'!$N$5:$N$24,'Scénarios retenus'!$B$5:$B$24,$A7)</f>
        <v>3</v>
      </c>
      <c r="J7" s="11" t="n">
        <f aca="false">_xlfn.MAXIFS('Scénarios retenus'!$Q$5:$Q$24,'Scénarios retenus'!$B$5:$B$24,$A7)</f>
        <v>2</v>
      </c>
      <c r="K7" s="11" t="n">
        <f aca="false">_xlfn.MAXIFS('Scénarios retenus'!$R$5:$R$24,'Scénarios retenus'!$B$5:$B$24,$A7)</f>
        <v>2</v>
      </c>
      <c r="L7" s="8" t="s">
        <v>77</v>
      </c>
      <c r="M7" s="8" t="s">
        <v>78</v>
      </c>
      <c r="N7" s="8" t="s">
        <v>79</v>
      </c>
      <c r="O7" s="8" t="s">
        <v>80</v>
      </c>
      <c r="P7" s="10" t="s">
        <v>81</v>
      </c>
      <c r="Q7" s="8" t="s">
        <v>82</v>
      </c>
    </row>
    <row r="8" customFormat="false" ht="94.5" hidden="false" customHeight="true" outlineLevel="0" collapsed="false">
      <c r="A8" s="7" t="s">
        <v>83</v>
      </c>
      <c r="B8" s="8" t="s">
        <v>84</v>
      </c>
      <c r="C8" s="9" t="s">
        <v>85</v>
      </c>
      <c r="D8" s="8" t="str">
        <f aca="false">"Actuel "&amp;I8&amp;" ; après plan "&amp;J8&amp;" ; à terme "&amp;K8</f>
        <v>Actuel 3 ; après plan 2 ; à terme 2</v>
      </c>
      <c r="E8" s="10" t="s">
        <v>86</v>
      </c>
      <c r="F8" s="8" t="s">
        <v>87</v>
      </c>
      <c r="G8" s="8" t="s">
        <v>88</v>
      </c>
      <c r="H8" s="8" t="s">
        <v>89</v>
      </c>
      <c r="I8" s="11" t="n">
        <f aca="false">_xlfn.MAXIFS('Scénarios retenus'!$N$5:$N$24,'Scénarios retenus'!$B$5:$B$24,$A8)</f>
        <v>3</v>
      </c>
      <c r="J8" s="11" t="n">
        <f aca="false">_xlfn.MAXIFS('Scénarios retenus'!$Q$5:$Q$24,'Scénarios retenus'!$B$5:$B$24,$A8)</f>
        <v>2</v>
      </c>
      <c r="K8" s="11" t="n">
        <f aca="false">_xlfn.MAXIFS('Scénarios retenus'!$R$5:$R$24,'Scénarios retenus'!$B$5:$B$24,$A8)</f>
        <v>2</v>
      </c>
      <c r="L8" s="8" t="s">
        <v>90</v>
      </c>
      <c r="M8" s="8" t="s">
        <v>91</v>
      </c>
      <c r="N8" s="8" t="s">
        <v>92</v>
      </c>
      <c r="O8" s="8" t="s">
        <v>93</v>
      </c>
      <c r="P8" s="10" t="s">
        <v>94</v>
      </c>
      <c r="Q8" s="8" t="s">
        <v>95</v>
      </c>
    </row>
    <row r="9" customFormat="false" ht="94.5" hidden="false" customHeight="true" outlineLevel="0" collapsed="false">
      <c r="A9" s="7" t="s">
        <v>96</v>
      </c>
      <c r="B9" s="8" t="s">
        <v>97</v>
      </c>
      <c r="C9" s="9" t="s">
        <v>98</v>
      </c>
      <c r="D9" s="8" t="str">
        <f aca="false">"Actuel "&amp;I9&amp;" ; après plan "&amp;J9&amp;" ; à terme "&amp;K9</f>
        <v>Actuel 3 ; après plan 3 ; à terme 2</v>
      </c>
      <c r="E9" s="10" t="s">
        <v>63</v>
      </c>
      <c r="F9" s="8" t="s">
        <v>99</v>
      </c>
      <c r="G9" s="8" t="s">
        <v>100</v>
      </c>
      <c r="H9" s="8" t="s">
        <v>101</v>
      </c>
      <c r="I9" s="11" t="n">
        <f aca="false">_xlfn.MAXIFS('Scénarios retenus'!$N$5:$N$24,'Scénarios retenus'!$B$5:$B$24,$A9)</f>
        <v>3</v>
      </c>
      <c r="J9" s="11" t="n">
        <f aca="false">_xlfn.MAXIFS('Scénarios retenus'!$Q$5:$Q$24,'Scénarios retenus'!$B$5:$B$24,$A9)</f>
        <v>3</v>
      </c>
      <c r="K9" s="11" t="n">
        <f aca="false">_xlfn.MAXIFS('Scénarios retenus'!$R$5:$R$24,'Scénarios retenus'!$B$5:$B$24,$A9)</f>
        <v>2</v>
      </c>
      <c r="L9" s="8" t="s">
        <v>102</v>
      </c>
      <c r="M9" s="8" t="s">
        <v>103</v>
      </c>
      <c r="N9" s="8" t="s">
        <v>104</v>
      </c>
      <c r="O9" s="8" t="s">
        <v>105</v>
      </c>
      <c r="P9" s="10" t="s">
        <v>106</v>
      </c>
      <c r="Q9" s="8" t="s">
        <v>82</v>
      </c>
    </row>
    <row r="10" customFormat="false" ht="108" hidden="false" customHeight="true" outlineLevel="0" collapsed="false">
      <c r="A10" s="7" t="s">
        <v>107</v>
      </c>
      <c r="B10" s="8" t="s">
        <v>108</v>
      </c>
      <c r="C10" s="9" t="s">
        <v>109</v>
      </c>
      <c r="D10" s="8" t="str">
        <f aca="false">"Actuel "&amp;I10&amp;" ; après plan "&amp;J10&amp;" ; à terme "&amp;K10</f>
        <v>Actuel 3 ; après plan 3 ; à terme 3</v>
      </c>
      <c r="E10" s="10" t="s">
        <v>110</v>
      </c>
      <c r="F10" s="8" t="s">
        <v>111</v>
      </c>
      <c r="G10" s="8" t="s">
        <v>112</v>
      </c>
      <c r="H10" s="8" t="s">
        <v>113</v>
      </c>
      <c r="I10" s="11" t="n">
        <f aca="false">_xlfn.MAXIFS('Scénarios retenus'!$N$5:$N$24,'Scénarios retenus'!$B$5:$B$24,$A10)</f>
        <v>3</v>
      </c>
      <c r="J10" s="11" t="n">
        <f aca="false">_xlfn.MAXIFS('Scénarios retenus'!$Q$5:$Q$24,'Scénarios retenus'!$B$5:$B$24,$A10)</f>
        <v>3</v>
      </c>
      <c r="K10" s="11" t="n">
        <f aca="false">_xlfn.MAXIFS('Scénarios retenus'!$R$5:$R$24,'Scénarios retenus'!$B$5:$B$24,$A10)</f>
        <v>3</v>
      </c>
      <c r="L10" s="8" t="s">
        <v>114</v>
      </c>
      <c r="M10" s="8" t="s">
        <v>115</v>
      </c>
      <c r="N10" s="8" t="s">
        <v>116</v>
      </c>
      <c r="O10" s="8" t="s">
        <v>117</v>
      </c>
      <c r="P10" s="10" t="s">
        <v>58</v>
      </c>
      <c r="Q10" s="8" t="s">
        <v>59</v>
      </c>
    </row>
    <row r="11" customFormat="false" ht="94.5" hidden="false" customHeight="true" outlineLevel="0" collapsed="false">
      <c r="A11" s="7" t="s">
        <v>118</v>
      </c>
      <c r="B11" s="8" t="s">
        <v>119</v>
      </c>
      <c r="C11" s="9" t="s">
        <v>120</v>
      </c>
      <c r="D11" s="8" t="str">
        <f aca="false">"Actuel "&amp;I11&amp;" ; après plan "&amp;J11&amp;" ; à terme "&amp;K11</f>
        <v>Actuel 3 ; après plan 3 ; à terme 2</v>
      </c>
      <c r="E11" s="10" t="s">
        <v>63</v>
      </c>
      <c r="F11" s="8" t="s">
        <v>121</v>
      </c>
      <c r="G11" s="8" t="s">
        <v>122</v>
      </c>
      <c r="H11" s="8" t="s">
        <v>123</v>
      </c>
      <c r="I11" s="11" t="n">
        <f aca="false">_xlfn.MAXIFS('Scénarios retenus'!$N$5:$N$24,'Scénarios retenus'!$B$5:$B$24,$A11)</f>
        <v>3</v>
      </c>
      <c r="J11" s="11" t="n">
        <f aca="false">_xlfn.MAXIFS('Scénarios retenus'!$Q$5:$Q$24,'Scénarios retenus'!$B$5:$B$24,$A11)</f>
        <v>3</v>
      </c>
      <c r="K11" s="11" t="n">
        <f aca="false">_xlfn.MAXIFS('Scénarios retenus'!$R$5:$R$24,'Scénarios retenus'!$B$5:$B$24,$A11)</f>
        <v>2</v>
      </c>
      <c r="L11" s="8" t="s">
        <v>124</v>
      </c>
      <c r="M11" s="8" t="s">
        <v>125</v>
      </c>
      <c r="N11" s="8" t="s">
        <v>126</v>
      </c>
      <c r="O11" s="8" t="s">
        <v>127</v>
      </c>
      <c r="P11" s="10" t="s">
        <v>58</v>
      </c>
      <c r="Q11" s="8" t="s">
        <v>59</v>
      </c>
    </row>
    <row r="12" customFormat="false" ht="94.5" hidden="false" customHeight="true" outlineLevel="0" collapsed="false">
      <c r="A12" s="7" t="s">
        <v>128</v>
      </c>
      <c r="B12" s="8" t="s">
        <v>129</v>
      </c>
      <c r="C12" s="9" t="s">
        <v>130</v>
      </c>
      <c r="D12" s="8" t="str">
        <f aca="false">"Actuel "&amp;I12&amp;" ; après plan "&amp;J12&amp;" ; à terme "&amp;K12</f>
        <v>Actuel 3 ; après plan 3 ; à terme 2</v>
      </c>
      <c r="E12" s="10" t="s">
        <v>63</v>
      </c>
      <c r="F12" s="8" t="s">
        <v>131</v>
      </c>
      <c r="G12" s="8" t="s">
        <v>132</v>
      </c>
      <c r="H12" s="8" t="s">
        <v>133</v>
      </c>
      <c r="I12" s="11" t="n">
        <f aca="false">_xlfn.MAXIFS('Scénarios retenus'!$N$5:$N$24,'Scénarios retenus'!$B$5:$B$24,$A12)</f>
        <v>3</v>
      </c>
      <c r="J12" s="11" t="n">
        <f aca="false">_xlfn.MAXIFS('Scénarios retenus'!$Q$5:$Q$24,'Scénarios retenus'!$B$5:$B$24,$A12)</f>
        <v>3</v>
      </c>
      <c r="K12" s="11" t="n">
        <f aca="false">_xlfn.MAXIFS('Scénarios retenus'!$R$5:$R$24,'Scénarios retenus'!$B$5:$B$24,$A12)</f>
        <v>2</v>
      </c>
      <c r="L12" s="8" t="s">
        <v>134</v>
      </c>
      <c r="M12" s="8" t="s">
        <v>135</v>
      </c>
      <c r="N12" s="8" t="s">
        <v>136</v>
      </c>
      <c r="O12" s="8" t="s">
        <v>58</v>
      </c>
      <c r="P12" s="10" t="s">
        <v>58</v>
      </c>
      <c r="Q12" s="8" t="s">
        <v>82</v>
      </c>
    </row>
    <row r="13" customFormat="false" ht="15" hidden="false" customHeight="true" outlineLevel="0" collapsed="false">
      <c r="A13" s="12"/>
    </row>
    <row r="14" customFormat="false" ht="15" hidden="false" customHeight="true" outlineLevel="0" collapsed="false">
      <c r="A14" s="12" t="s">
        <v>137</v>
      </c>
    </row>
    <row r="15" customFormat="false" ht="15" hidden="false" customHeight="true" outlineLevel="0" collapsed="false">
      <c r="A15" s="12" t="s">
        <v>138</v>
      </c>
    </row>
    <row r="16" customFormat="false" ht="15" hidden="false" customHeight="true" outlineLevel="0" collapsed="false">
      <c r="A16" s="12" t="s">
        <v>139</v>
      </c>
    </row>
  </sheetData>
  <conditionalFormatting sqref="I5:K12">
    <cfRule type="cellIs" priority="2" operator="equal" aboveAverage="0" equalAverage="0" bottom="0" percent="0" rank="0" text="" dxfId="0">
      <formula>4</formula>
    </cfRule>
    <cfRule type="cellIs" priority="3" operator="equal" aboveAverage="0" equalAverage="0" bottom="0" percent="0" rank="0" text="" dxfId="1">
      <formula>3</formula>
    </cfRule>
    <cfRule type="cellIs" priority="4" operator="equal" aboveAverage="0" equalAverage="0" bottom="0" percent="0" rank="0" text="" dxfId="2">
      <formula>2</formula>
    </cfRule>
    <cfRule type="cellIs" priority="5" operator="equal" aboveAverage="0" equalAverage="0" bottom="0" percent="0" rank="0" text="" dxfId="3">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8"/>
    <col collapsed="false" customWidth="true" hidden="false" outlineLevel="0" max="3" min="3" style="1" width="50"/>
    <col collapsed="false" customWidth="true" hidden="false" outlineLevel="0" max="4" min="4" style="1" width="16"/>
    <col collapsed="false" customWidth="true" hidden="false" outlineLevel="0" max="6" min="5" style="1" width="9"/>
    <col collapsed="false" customWidth="true" hidden="false" outlineLevel="0" max="7" min="7" style="1" width="60"/>
    <col collapsed="false" customWidth="true" hidden="false" outlineLevel="0" max="8" min="8" style="1" width="34"/>
    <col collapsed="false" customWidth="true" hidden="false" outlineLevel="0" max="9" min="9" style="1" width="12"/>
    <col collapsed="false" customWidth="true" hidden="false" outlineLevel="0" max="10" min="10" style="0" width="22"/>
  </cols>
  <sheetData>
    <row r="1" customFormat="false" ht="17.25" hidden="false" customHeight="true" outlineLevel="0" collapsed="false">
      <c r="A1" s="2" t="s">
        <v>140</v>
      </c>
    </row>
    <row r="2" customFormat="false" ht="15" hidden="false" customHeight="true" outlineLevel="0" collapsed="false">
      <c r="A2" s="3" t="s">
        <v>141</v>
      </c>
    </row>
    <row r="4" customFormat="false" ht="34.5" hidden="false" customHeight="true" outlineLevel="0" collapsed="false">
      <c r="A4" s="6" t="s">
        <v>142</v>
      </c>
      <c r="B4" s="6" t="s">
        <v>143</v>
      </c>
      <c r="C4" s="6" t="s">
        <v>144</v>
      </c>
      <c r="D4" s="6" t="s">
        <v>145</v>
      </c>
      <c r="E4" s="6" t="s">
        <v>146</v>
      </c>
      <c r="F4" s="6" t="s">
        <v>147</v>
      </c>
      <c r="G4" s="6" t="s">
        <v>148</v>
      </c>
      <c r="H4" s="6" t="s">
        <v>149</v>
      </c>
      <c r="I4" s="6" t="s">
        <v>150</v>
      </c>
      <c r="J4" s="6" t="s">
        <v>151</v>
      </c>
    </row>
    <row r="5" customFormat="false" ht="42.75" hidden="false" customHeight="true" outlineLevel="0" collapsed="false">
      <c r="A5" s="9" t="s">
        <v>152</v>
      </c>
      <c r="B5" s="10" t="n">
        <v>9</v>
      </c>
      <c r="C5" s="8" t="s">
        <v>153</v>
      </c>
      <c r="D5" s="10" t="s">
        <v>154</v>
      </c>
      <c r="E5" s="8" t="n">
        <v>3</v>
      </c>
      <c r="F5" s="8" t="n">
        <v>3</v>
      </c>
      <c r="G5" s="8" t="s">
        <v>155</v>
      </c>
      <c r="H5" s="10" t="s">
        <v>156</v>
      </c>
      <c r="I5" s="8" t="s">
        <v>157</v>
      </c>
      <c r="J5" s="8" t="s">
        <v>158</v>
      </c>
    </row>
    <row r="6" customFormat="false" ht="30" hidden="false" customHeight="true" outlineLevel="0" collapsed="false">
      <c r="A6" s="9" t="s">
        <v>159</v>
      </c>
      <c r="B6" s="10" t="n">
        <v>26</v>
      </c>
      <c r="C6" s="8" t="s">
        <v>160</v>
      </c>
      <c r="D6" s="10" t="s">
        <v>161</v>
      </c>
      <c r="E6" s="8" t="n">
        <v>3</v>
      </c>
      <c r="F6" s="8" t="n">
        <v>3</v>
      </c>
      <c r="G6" s="8" t="s">
        <v>162</v>
      </c>
      <c r="H6" s="10" t="s">
        <v>156</v>
      </c>
      <c r="I6" s="8" t="s">
        <v>157</v>
      </c>
      <c r="J6" s="8" t="s">
        <v>158</v>
      </c>
    </row>
    <row r="7" customFormat="false" ht="55.5" hidden="false" customHeight="true" outlineLevel="0" collapsed="false">
      <c r="A7" s="9" t="s">
        <v>163</v>
      </c>
      <c r="B7" s="10" t="n">
        <v>27</v>
      </c>
      <c r="C7" s="8" t="s">
        <v>164</v>
      </c>
      <c r="D7" s="10" t="s">
        <v>154</v>
      </c>
      <c r="E7" s="8" t="n">
        <v>3</v>
      </c>
      <c r="F7" s="8" t="n">
        <v>3</v>
      </c>
      <c r="G7" s="8" t="s">
        <v>165</v>
      </c>
      <c r="H7" s="10" t="s">
        <v>166</v>
      </c>
      <c r="I7" s="8" t="s">
        <v>157</v>
      </c>
      <c r="J7" s="8" t="s">
        <v>158</v>
      </c>
    </row>
    <row r="8" customFormat="false" ht="55.5" hidden="false" customHeight="true" outlineLevel="0" collapsed="false">
      <c r="A8" s="9" t="s">
        <v>167</v>
      </c>
      <c r="B8" s="10" t="n">
        <v>37</v>
      </c>
      <c r="C8" s="8" t="s">
        <v>168</v>
      </c>
      <c r="D8" s="10" t="s">
        <v>154</v>
      </c>
      <c r="E8" s="8" t="n">
        <v>3</v>
      </c>
      <c r="F8" s="8" t="n">
        <v>3</v>
      </c>
      <c r="G8" s="8" t="s">
        <v>169</v>
      </c>
      <c r="H8" s="10" t="s">
        <v>170</v>
      </c>
      <c r="I8" s="8" t="s">
        <v>157</v>
      </c>
      <c r="J8" s="8" t="s">
        <v>158</v>
      </c>
    </row>
    <row r="9" customFormat="false" ht="30" hidden="false" customHeight="true" outlineLevel="0" collapsed="false">
      <c r="A9" s="9" t="s">
        <v>171</v>
      </c>
      <c r="B9" s="10" t="n">
        <v>38</v>
      </c>
      <c r="C9" s="8" t="s">
        <v>172</v>
      </c>
      <c r="D9" s="10" t="s">
        <v>161</v>
      </c>
      <c r="E9" s="8" t="n">
        <v>3</v>
      </c>
      <c r="F9" s="8" t="n">
        <v>3</v>
      </c>
      <c r="G9" s="8" t="s">
        <v>162</v>
      </c>
      <c r="H9" s="10" t="s">
        <v>156</v>
      </c>
      <c r="I9" s="8" t="s">
        <v>157</v>
      </c>
      <c r="J9" s="8" t="s">
        <v>158</v>
      </c>
    </row>
    <row r="10" customFormat="false" ht="42.75" hidden="false" customHeight="true" outlineLevel="0" collapsed="false">
      <c r="A10" s="9" t="s">
        <v>173</v>
      </c>
      <c r="B10" s="10" t="n">
        <v>76</v>
      </c>
      <c r="C10" s="8" t="s">
        <v>174</v>
      </c>
      <c r="D10" s="10" t="s">
        <v>175</v>
      </c>
      <c r="E10" s="8" t="n">
        <v>3</v>
      </c>
      <c r="F10" s="8" t="n">
        <v>3</v>
      </c>
      <c r="G10" s="8" t="s">
        <v>162</v>
      </c>
      <c r="H10" s="10" t="s">
        <v>156</v>
      </c>
      <c r="I10" s="8" t="s">
        <v>157</v>
      </c>
      <c r="J10" s="8" t="s">
        <v>158</v>
      </c>
    </row>
    <row r="11" customFormat="false" ht="30" hidden="false" customHeight="true" outlineLevel="0" collapsed="false">
      <c r="A11" s="9" t="s">
        <v>176</v>
      </c>
      <c r="B11" s="10" t="n">
        <v>77</v>
      </c>
      <c r="C11" s="8" t="s">
        <v>177</v>
      </c>
      <c r="D11" s="10" t="s">
        <v>178</v>
      </c>
      <c r="E11" s="8" t="n">
        <v>3</v>
      </c>
      <c r="F11" s="8" t="n">
        <v>3</v>
      </c>
      <c r="G11" s="8" t="s">
        <v>162</v>
      </c>
      <c r="H11" s="10" t="s">
        <v>156</v>
      </c>
      <c r="I11" s="8" t="s">
        <v>157</v>
      </c>
      <c r="J11" s="8" t="s">
        <v>158</v>
      </c>
    </row>
    <row r="12" customFormat="false" ht="55.5" hidden="false" customHeight="true" outlineLevel="0" collapsed="false">
      <c r="A12" s="9" t="s">
        <v>179</v>
      </c>
      <c r="B12" s="10" t="n">
        <v>78</v>
      </c>
      <c r="C12" s="8" t="s">
        <v>180</v>
      </c>
      <c r="D12" s="10" t="s">
        <v>161</v>
      </c>
      <c r="E12" s="8" t="n">
        <v>3</v>
      </c>
      <c r="F12" s="8" t="n">
        <v>3</v>
      </c>
      <c r="G12" s="8" t="s">
        <v>162</v>
      </c>
      <c r="H12" s="10" t="s">
        <v>156</v>
      </c>
      <c r="I12" s="8" t="s">
        <v>157</v>
      </c>
      <c r="J12" s="8" t="s">
        <v>158</v>
      </c>
    </row>
    <row r="13" customFormat="false" ht="42.75" hidden="false" customHeight="true" outlineLevel="0" collapsed="false">
      <c r="A13" s="9" t="s">
        <v>181</v>
      </c>
      <c r="B13" s="10" t="n">
        <v>79</v>
      </c>
      <c r="C13" s="8" t="s">
        <v>182</v>
      </c>
      <c r="D13" s="10" t="s">
        <v>183</v>
      </c>
      <c r="E13" s="8" t="n">
        <v>4</v>
      </c>
      <c r="F13" s="8" t="n">
        <v>3</v>
      </c>
      <c r="G13" s="8" t="s">
        <v>184</v>
      </c>
      <c r="H13" s="10" t="s">
        <v>156</v>
      </c>
      <c r="I13" s="8" t="s">
        <v>157</v>
      </c>
      <c r="J13" s="8" t="s">
        <v>158</v>
      </c>
    </row>
    <row r="14" customFormat="false" ht="42.75" hidden="false" customHeight="true" outlineLevel="0" collapsed="false">
      <c r="A14" s="9" t="s">
        <v>185</v>
      </c>
      <c r="B14" s="10" t="n">
        <v>80</v>
      </c>
      <c r="C14" s="8" t="s">
        <v>186</v>
      </c>
      <c r="D14" s="10" t="s">
        <v>175</v>
      </c>
      <c r="E14" s="8" t="n">
        <v>3</v>
      </c>
      <c r="F14" s="8" t="n">
        <v>3</v>
      </c>
      <c r="G14" s="8" t="s">
        <v>155</v>
      </c>
      <c r="H14" s="10" t="s">
        <v>156</v>
      </c>
      <c r="I14" s="8" t="s">
        <v>157</v>
      </c>
      <c r="J14" s="8" t="s">
        <v>158</v>
      </c>
    </row>
    <row r="15" customFormat="false" ht="30" hidden="false" customHeight="true" outlineLevel="0" collapsed="false">
      <c r="A15" s="9" t="s">
        <v>187</v>
      </c>
      <c r="B15" s="10" t="n">
        <v>86</v>
      </c>
      <c r="C15" s="8" t="s">
        <v>188</v>
      </c>
      <c r="D15" s="10" t="s">
        <v>175</v>
      </c>
      <c r="E15" s="8" t="n">
        <v>3</v>
      </c>
      <c r="F15" s="8" t="n">
        <v>3</v>
      </c>
      <c r="G15" s="8" t="s">
        <v>162</v>
      </c>
      <c r="H15" s="10" t="s">
        <v>156</v>
      </c>
      <c r="I15" s="8" t="s">
        <v>157</v>
      </c>
      <c r="J15" s="8" t="s">
        <v>158</v>
      </c>
    </row>
    <row r="16" customFormat="false" ht="30" hidden="false" customHeight="true" outlineLevel="0" collapsed="false">
      <c r="A16" s="9" t="s">
        <v>133</v>
      </c>
      <c r="B16" s="10" t="n">
        <v>110</v>
      </c>
      <c r="C16" s="8" t="s">
        <v>189</v>
      </c>
      <c r="D16" s="10" t="s">
        <v>190</v>
      </c>
      <c r="E16" s="8" t="n">
        <v>3</v>
      </c>
      <c r="F16" s="8" t="n">
        <v>3</v>
      </c>
      <c r="G16" s="8" t="s">
        <v>162</v>
      </c>
      <c r="H16" s="10" t="s">
        <v>156</v>
      </c>
      <c r="I16" s="8" t="s">
        <v>157</v>
      </c>
      <c r="J16" s="8" t="s">
        <v>158</v>
      </c>
    </row>
    <row r="17" customFormat="false" ht="30" hidden="false" customHeight="true" outlineLevel="0" collapsed="false">
      <c r="A17" s="9" t="s">
        <v>191</v>
      </c>
      <c r="B17" s="10" t="n">
        <v>144</v>
      </c>
      <c r="C17" s="8" t="s">
        <v>192</v>
      </c>
      <c r="D17" s="10" t="s">
        <v>178</v>
      </c>
      <c r="E17" s="8" t="n">
        <v>3</v>
      </c>
      <c r="F17" s="8" t="n">
        <v>3</v>
      </c>
      <c r="G17" s="8" t="s">
        <v>162</v>
      </c>
      <c r="H17" s="10" t="s">
        <v>156</v>
      </c>
      <c r="I17" s="8" t="s">
        <v>157</v>
      </c>
      <c r="J17" s="8" t="s">
        <v>158</v>
      </c>
    </row>
    <row r="18" customFormat="false" ht="42.75" hidden="false" customHeight="true" outlineLevel="0" collapsed="false">
      <c r="A18" s="9" t="s">
        <v>193</v>
      </c>
      <c r="B18" s="10" t="n">
        <v>105</v>
      </c>
      <c r="C18" s="8" t="s">
        <v>194</v>
      </c>
      <c r="D18" s="10" t="s">
        <v>195</v>
      </c>
      <c r="E18" s="8" t="n">
        <v>3</v>
      </c>
      <c r="F18" s="8" t="n">
        <v>3</v>
      </c>
      <c r="G18" s="8" t="s">
        <v>196</v>
      </c>
      <c r="H18" s="10" t="s">
        <v>197</v>
      </c>
      <c r="I18" s="8" t="s">
        <v>157</v>
      </c>
      <c r="J18" s="8" t="s">
        <v>198</v>
      </c>
    </row>
    <row r="19" customFormat="false" ht="55.5" hidden="false" customHeight="true" outlineLevel="0" collapsed="false">
      <c r="A19" s="9" t="s">
        <v>199</v>
      </c>
      <c r="B19" s="10" t="n">
        <v>106</v>
      </c>
      <c r="C19" s="8" t="s">
        <v>200</v>
      </c>
      <c r="D19" s="10" t="s">
        <v>195</v>
      </c>
      <c r="E19" s="8" t="n">
        <v>3</v>
      </c>
      <c r="F19" s="8" t="n">
        <v>3</v>
      </c>
      <c r="G19" s="8" t="s">
        <v>196</v>
      </c>
      <c r="H19" s="10" t="s">
        <v>197</v>
      </c>
      <c r="I19" s="8" t="s">
        <v>157</v>
      </c>
      <c r="J19" s="8" t="s">
        <v>198</v>
      </c>
    </row>
    <row r="20" customFormat="false" ht="42.75" hidden="false" customHeight="true" outlineLevel="0" collapsed="false">
      <c r="A20" s="9" t="s">
        <v>201</v>
      </c>
      <c r="B20" s="10" t="n">
        <v>107</v>
      </c>
      <c r="C20" s="8" t="s">
        <v>202</v>
      </c>
      <c r="D20" s="10" t="s">
        <v>195</v>
      </c>
      <c r="E20" s="8" t="n">
        <v>3</v>
      </c>
      <c r="F20" s="8" t="n">
        <v>3</v>
      </c>
      <c r="G20" s="8" t="s">
        <v>196</v>
      </c>
      <c r="H20" s="10" t="s">
        <v>197</v>
      </c>
      <c r="I20" s="8" t="s">
        <v>157</v>
      </c>
      <c r="J20" s="8" t="s">
        <v>198</v>
      </c>
    </row>
    <row r="21" customFormat="false" ht="55.5" hidden="false" customHeight="true" outlineLevel="0" collapsed="false">
      <c r="A21" s="9" t="s">
        <v>203</v>
      </c>
      <c r="B21" s="10" t="n">
        <v>109</v>
      </c>
      <c r="C21" s="8" t="s">
        <v>204</v>
      </c>
      <c r="D21" s="10" t="s">
        <v>205</v>
      </c>
      <c r="E21" s="8" t="n">
        <v>3</v>
      </c>
      <c r="F21" s="8" t="n">
        <v>3</v>
      </c>
      <c r="G21" s="8" t="s">
        <v>206</v>
      </c>
      <c r="H21" s="10" t="s">
        <v>207</v>
      </c>
      <c r="I21" s="8" t="s">
        <v>157</v>
      </c>
      <c r="J21" s="8" t="s">
        <v>158</v>
      </c>
    </row>
    <row r="22" customFormat="false" ht="69" hidden="false" customHeight="true" outlineLevel="0" collapsed="false">
      <c r="A22" s="9" t="s">
        <v>208</v>
      </c>
      <c r="B22" s="10" t="n">
        <v>111</v>
      </c>
      <c r="C22" s="8" t="s">
        <v>209</v>
      </c>
      <c r="D22" s="10" t="s">
        <v>205</v>
      </c>
      <c r="E22" s="8" t="n">
        <v>3</v>
      </c>
      <c r="F22" s="8" t="n">
        <v>3</v>
      </c>
      <c r="G22" s="8" t="s">
        <v>210</v>
      </c>
      <c r="H22" s="10" t="s">
        <v>207</v>
      </c>
      <c r="I22" s="8" t="s">
        <v>157</v>
      </c>
      <c r="J22" s="8" t="s">
        <v>158</v>
      </c>
    </row>
    <row r="23" customFormat="false" ht="69" hidden="false" customHeight="true" outlineLevel="0" collapsed="false">
      <c r="A23" s="9" t="s">
        <v>211</v>
      </c>
      <c r="B23" s="10" t="n">
        <v>40</v>
      </c>
      <c r="C23" s="8" t="s">
        <v>212</v>
      </c>
      <c r="D23" s="10" t="s">
        <v>205</v>
      </c>
      <c r="E23" s="8" t="n">
        <v>3</v>
      </c>
      <c r="F23" s="8" t="n">
        <v>3</v>
      </c>
      <c r="G23" s="8" t="s">
        <v>213</v>
      </c>
      <c r="H23" s="10" t="s">
        <v>207</v>
      </c>
      <c r="I23" s="8" t="s">
        <v>157</v>
      </c>
      <c r="J23" s="8" t="s">
        <v>158</v>
      </c>
    </row>
    <row r="24" customFormat="false" ht="69" hidden="false" customHeight="true" outlineLevel="0" collapsed="false">
      <c r="A24" s="9" t="s">
        <v>214</v>
      </c>
      <c r="B24" s="10" t="n">
        <v>73</v>
      </c>
      <c r="C24" s="8" t="s">
        <v>215</v>
      </c>
      <c r="D24" s="10" t="s">
        <v>205</v>
      </c>
      <c r="E24" s="8" t="n">
        <v>3</v>
      </c>
      <c r="F24" s="8" t="n">
        <v>3</v>
      </c>
      <c r="G24" s="8" t="s">
        <v>216</v>
      </c>
      <c r="H24" s="10" t="s">
        <v>207</v>
      </c>
      <c r="I24" s="8" t="s">
        <v>157</v>
      </c>
      <c r="J24" s="8" t="s">
        <v>158</v>
      </c>
    </row>
    <row r="25" customFormat="false" ht="55.5" hidden="false" customHeight="true" outlineLevel="0" collapsed="false">
      <c r="A25" s="9" t="s">
        <v>217</v>
      </c>
      <c r="B25" s="10" t="n">
        <v>74</v>
      </c>
      <c r="C25" s="8" t="s">
        <v>218</v>
      </c>
      <c r="D25" s="10" t="s">
        <v>205</v>
      </c>
      <c r="E25" s="8" t="n">
        <v>3</v>
      </c>
      <c r="F25" s="8" t="n">
        <v>3</v>
      </c>
      <c r="G25" s="8" t="s">
        <v>219</v>
      </c>
      <c r="H25" s="10" t="s">
        <v>207</v>
      </c>
      <c r="I25" s="8" t="s">
        <v>157</v>
      </c>
      <c r="J25" s="8" t="s">
        <v>158</v>
      </c>
    </row>
    <row r="26" customFormat="false" ht="55.5" hidden="false" customHeight="true" outlineLevel="0" collapsed="false">
      <c r="A26" s="9" t="s">
        <v>220</v>
      </c>
      <c r="B26" s="10" t="n">
        <v>75</v>
      </c>
      <c r="C26" s="8" t="s">
        <v>221</v>
      </c>
      <c r="D26" s="10" t="s">
        <v>205</v>
      </c>
      <c r="E26" s="8" t="n">
        <v>3</v>
      </c>
      <c r="F26" s="8" t="n">
        <v>3</v>
      </c>
      <c r="G26" s="8" t="s">
        <v>219</v>
      </c>
      <c r="H26" s="10" t="s">
        <v>207</v>
      </c>
      <c r="I26" s="8" t="s">
        <v>157</v>
      </c>
      <c r="J26" s="8" t="s">
        <v>158</v>
      </c>
    </row>
    <row r="27" customFormat="false" ht="55.5" hidden="false" customHeight="true" outlineLevel="0" collapsed="false">
      <c r="A27" s="9" t="s">
        <v>222</v>
      </c>
      <c r="B27" s="10" t="n">
        <v>82</v>
      </c>
      <c r="C27" s="8" t="s">
        <v>223</v>
      </c>
      <c r="D27" s="10" t="s">
        <v>205</v>
      </c>
      <c r="E27" s="8" t="n">
        <v>3</v>
      </c>
      <c r="F27" s="8" t="n">
        <v>3</v>
      </c>
      <c r="G27" s="8" t="s">
        <v>224</v>
      </c>
      <c r="H27" s="10" t="s">
        <v>207</v>
      </c>
      <c r="I27" s="8" t="s">
        <v>157</v>
      </c>
      <c r="J27" s="8" t="s">
        <v>158</v>
      </c>
    </row>
    <row r="28" customFormat="false" ht="55.5" hidden="false" customHeight="true" outlineLevel="0" collapsed="false">
      <c r="A28" s="9" t="s">
        <v>225</v>
      </c>
      <c r="B28" s="10" t="n">
        <v>83</v>
      </c>
      <c r="C28" s="8" t="s">
        <v>226</v>
      </c>
      <c r="D28" s="10" t="s">
        <v>205</v>
      </c>
      <c r="E28" s="8" t="n">
        <v>3</v>
      </c>
      <c r="F28" s="8" t="n">
        <v>3</v>
      </c>
      <c r="G28" s="8" t="s">
        <v>227</v>
      </c>
      <c r="H28" s="10" t="s">
        <v>207</v>
      </c>
      <c r="I28" s="8" t="s">
        <v>157</v>
      </c>
      <c r="J28" s="8" t="s">
        <v>158</v>
      </c>
    </row>
    <row r="29" customFormat="false" ht="55.5" hidden="false" customHeight="true" outlineLevel="0" collapsed="false">
      <c r="A29" s="9" t="s">
        <v>228</v>
      </c>
      <c r="B29" s="10" t="n">
        <v>85</v>
      </c>
      <c r="C29" s="8" t="s">
        <v>229</v>
      </c>
      <c r="D29" s="10" t="s">
        <v>205</v>
      </c>
      <c r="E29" s="8" t="n">
        <v>3</v>
      </c>
      <c r="F29" s="8" t="n">
        <v>3</v>
      </c>
      <c r="G29" s="8" t="s">
        <v>230</v>
      </c>
      <c r="H29" s="10" t="s">
        <v>207</v>
      </c>
      <c r="I29" s="8" t="s">
        <v>157</v>
      </c>
      <c r="J29" s="8" t="s">
        <v>158</v>
      </c>
    </row>
    <row r="30" customFormat="false" ht="55.5" hidden="false" customHeight="true" outlineLevel="0" collapsed="false">
      <c r="A30" s="9" t="s">
        <v>231</v>
      </c>
      <c r="B30" s="10" t="n">
        <v>140</v>
      </c>
      <c r="C30" s="8" t="s">
        <v>232</v>
      </c>
      <c r="D30" s="10" t="s">
        <v>205</v>
      </c>
      <c r="E30" s="8" t="n">
        <v>3</v>
      </c>
      <c r="F30" s="8" t="n">
        <v>3</v>
      </c>
      <c r="G30" s="8" t="s">
        <v>233</v>
      </c>
      <c r="H30" s="10" t="s">
        <v>207</v>
      </c>
      <c r="I30" s="8" t="s">
        <v>157</v>
      </c>
      <c r="J30" s="8" t="s">
        <v>158</v>
      </c>
    </row>
    <row r="31" customFormat="false" ht="55.5" hidden="false" customHeight="true" outlineLevel="0" collapsed="false">
      <c r="A31" s="9" t="s">
        <v>234</v>
      </c>
      <c r="B31" s="10" t="n">
        <v>39</v>
      </c>
      <c r="C31" s="8" t="s">
        <v>235</v>
      </c>
      <c r="D31" s="10" t="s">
        <v>205</v>
      </c>
      <c r="E31" s="8" t="n">
        <v>3</v>
      </c>
      <c r="F31" s="8" t="n">
        <v>3</v>
      </c>
      <c r="G31" s="8" t="s">
        <v>236</v>
      </c>
      <c r="H31" s="10" t="s">
        <v>237</v>
      </c>
      <c r="I31" s="8" t="s">
        <v>157</v>
      </c>
      <c r="J31" s="8" t="s">
        <v>198</v>
      </c>
    </row>
    <row r="32" customFormat="false" ht="42.75" hidden="false" customHeight="true" outlineLevel="0" collapsed="false">
      <c r="A32" s="9" t="s">
        <v>238</v>
      </c>
      <c r="B32" s="10" t="n">
        <v>41</v>
      </c>
      <c r="C32" s="8" t="s">
        <v>239</v>
      </c>
      <c r="D32" s="10" t="s">
        <v>205</v>
      </c>
      <c r="E32" s="8" t="n">
        <v>3</v>
      </c>
      <c r="F32" s="8" t="n">
        <v>3</v>
      </c>
      <c r="G32" s="8" t="s">
        <v>240</v>
      </c>
      <c r="H32" s="10" t="s">
        <v>207</v>
      </c>
      <c r="I32" s="8" t="s">
        <v>157</v>
      </c>
      <c r="J32" s="8" t="s">
        <v>198</v>
      </c>
    </row>
    <row r="33" customFormat="false" ht="42.75" hidden="false" customHeight="true" outlineLevel="0" collapsed="false">
      <c r="A33" s="9" t="s">
        <v>241</v>
      </c>
      <c r="B33" s="10" t="n">
        <v>44</v>
      </c>
      <c r="C33" s="8" t="s">
        <v>242</v>
      </c>
      <c r="D33" s="10" t="s">
        <v>205</v>
      </c>
      <c r="E33" s="8" t="n">
        <v>3</v>
      </c>
      <c r="F33" s="8" t="n">
        <v>3</v>
      </c>
      <c r="G33" s="8" t="s">
        <v>243</v>
      </c>
      <c r="H33" s="10" t="s">
        <v>207</v>
      </c>
      <c r="I33" s="8" t="s">
        <v>157</v>
      </c>
      <c r="J33" s="8" t="s">
        <v>198</v>
      </c>
    </row>
    <row r="34" customFormat="false" ht="42.75" hidden="false" customHeight="true" outlineLevel="0" collapsed="false">
      <c r="A34" s="9" t="s">
        <v>244</v>
      </c>
      <c r="B34" s="10" t="n">
        <v>10</v>
      </c>
      <c r="C34" s="8" t="s">
        <v>245</v>
      </c>
      <c r="D34" s="10" t="s">
        <v>205</v>
      </c>
      <c r="E34" s="8" t="n">
        <v>3</v>
      </c>
      <c r="F34" s="8" t="n">
        <v>3</v>
      </c>
      <c r="G34" s="8" t="s">
        <v>240</v>
      </c>
      <c r="H34" s="10" t="s">
        <v>207</v>
      </c>
      <c r="I34" s="8" t="s">
        <v>157</v>
      </c>
      <c r="J34" s="8" t="s">
        <v>198</v>
      </c>
    </row>
    <row r="35" customFormat="false" ht="42.75" hidden="false" customHeight="true" outlineLevel="0" collapsed="false">
      <c r="A35" s="9" t="s">
        <v>246</v>
      </c>
      <c r="B35" s="10" t="n">
        <v>16</v>
      </c>
      <c r="C35" s="8" t="s">
        <v>247</v>
      </c>
      <c r="D35" s="10" t="s">
        <v>205</v>
      </c>
      <c r="E35" s="8" t="n">
        <v>3</v>
      </c>
      <c r="F35" s="8" t="n">
        <v>3</v>
      </c>
      <c r="G35" s="8" t="s">
        <v>240</v>
      </c>
      <c r="H35" s="10" t="s">
        <v>207</v>
      </c>
      <c r="I35" s="8" t="s">
        <v>157</v>
      </c>
      <c r="J35" s="8" t="s">
        <v>198</v>
      </c>
    </row>
    <row r="36" customFormat="false" ht="42.75" hidden="false" customHeight="true" outlineLevel="0" collapsed="false">
      <c r="A36" s="9" t="s">
        <v>248</v>
      </c>
      <c r="B36" s="10" t="n">
        <v>17</v>
      </c>
      <c r="C36" s="8" t="s">
        <v>249</v>
      </c>
      <c r="D36" s="10" t="s">
        <v>205</v>
      </c>
      <c r="E36" s="8" t="n">
        <v>3</v>
      </c>
      <c r="F36" s="8" t="n">
        <v>3</v>
      </c>
      <c r="G36" s="8" t="s">
        <v>240</v>
      </c>
      <c r="H36" s="10" t="s">
        <v>207</v>
      </c>
      <c r="I36" s="8" t="s">
        <v>157</v>
      </c>
      <c r="J36" s="8" t="s">
        <v>198</v>
      </c>
    </row>
    <row r="37" customFormat="false" ht="42.75" hidden="false" customHeight="true" outlineLevel="0" collapsed="false">
      <c r="A37" s="9" t="s">
        <v>250</v>
      </c>
      <c r="B37" s="10" t="n">
        <v>23</v>
      </c>
      <c r="C37" s="8" t="s">
        <v>251</v>
      </c>
      <c r="D37" s="10" t="s">
        <v>205</v>
      </c>
      <c r="E37" s="8" t="n">
        <v>3</v>
      </c>
      <c r="F37" s="8" t="n">
        <v>3</v>
      </c>
      <c r="G37" s="8" t="s">
        <v>240</v>
      </c>
      <c r="H37" s="10" t="s">
        <v>207</v>
      </c>
      <c r="I37" s="8" t="s">
        <v>157</v>
      </c>
      <c r="J37" s="8" t="s">
        <v>158</v>
      </c>
    </row>
    <row r="38" customFormat="false" ht="42.75" hidden="false" customHeight="true" outlineLevel="0" collapsed="false">
      <c r="A38" s="9" t="s">
        <v>252</v>
      </c>
      <c r="B38" s="10" t="n">
        <v>24</v>
      </c>
      <c r="C38" s="8" t="s">
        <v>253</v>
      </c>
      <c r="D38" s="10" t="s">
        <v>205</v>
      </c>
      <c r="E38" s="8" t="n">
        <v>3</v>
      </c>
      <c r="F38" s="8" t="n">
        <v>3</v>
      </c>
      <c r="G38" s="8" t="s">
        <v>240</v>
      </c>
      <c r="H38" s="10" t="s">
        <v>207</v>
      </c>
      <c r="I38" s="8" t="s">
        <v>157</v>
      </c>
      <c r="J38" s="8" t="s">
        <v>198</v>
      </c>
    </row>
    <row r="39" customFormat="false" ht="42.75" hidden="false" customHeight="true" outlineLevel="0" collapsed="false">
      <c r="A39" s="9" t="s">
        <v>254</v>
      </c>
      <c r="B39" s="10" t="n">
        <v>28</v>
      </c>
      <c r="C39" s="8" t="s">
        <v>255</v>
      </c>
      <c r="D39" s="10" t="s">
        <v>205</v>
      </c>
      <c r="E39" s="8" t="n">
        <v>3</v>
      </c>
      <c r="F39" s="8" t="n">
        <v>3</v>
      </c>
      <c r="G39" s="8" t="s">
        <v>256</v>
      </c>
      <c r="H39" s="10" t="s">
        <v>207</v>
      </c>
      <c r="I39" s="8" t="s">
        <v>157</v>
      </c>
      <c r="J39" s="8" t="s">
        <v>198</v>
      </c>
    </row>
    <row r="40" customFormat="false" ht="42.75" hidden="false" customHeight="true" outlineLevel="0" collapsed="false">
      <c r="A40" s="9" t="s">
        <v>257</v>
      </c>
      <c r="B40" s="10" t="n">
        <v>29</v>
      </c>
      <c r="C40" s="8" t="s">
        <v>258</v>
      </c>
      <c r="D40" s="10" t="s">
        <v>205</v>
      </c>
      <c r="E40" s="8" t="n">
        <v>3</v>
      </c>
      <c r="F40" s="8" t="n">
        <v>3</v>
      </c>
      <c r="G40" s="8" t="s">
        <v>259</v>
      </c>
      <c r="H40" s="10" t="s">
        <v>207</v>
      </c>
      <c r="I40" s="8" t="s">
        <v>157</v>
      </c>
      <c r="J40" s="8" t="s">
        <v>198</v>
      </c>
    </row>
    <row r="41" customFormat="false" ht="42.75" hidden="false" customHeight="true" outlineLevel="0" collapsed="false">
      <c r="A41" s="9" t="s">
        <v>260</v>
      </c>
      <c r="B41" s="10" t="n">
        <v>30</v>
      </c>
      <c r="C41" s="8" t="s">
        <v>261</v>
      </c>
      <c r="D41" s="10" t="s">
        <v>205</v>
      </c>
      <c r="E41" s="8" t="n">
        <v>3</v>
      </c>
      <c r="F41" s="8" t="n">
        <v>3</v>
      </c>
      <c r="G41" s="8" t="s">
        <v>240</v>
      </c>
      <c r="H41" s="10" t="s">
        <v>207</v>
      </c>
      <c r="I41" s="8" t="s">
        <v>157</v>
      </c>
      <c r="J41" s="8" t="s">
        <v>158</v>
      </c>
    </row>
    <row r="42" customFormat="false" ht="42.75" hidden="false" customHeight="true" outlineLevel="0" collapsed="false">
      <c r="A42" s="9" t="s">
        <v>262</v>
      </c>
      <c r="B42" s="10" t="n">
        <v>32</v>
      </c>
      <c r="C42" s="8" t="s">
        <v>263</v>
      </c>
      <c r="D42" s="10" t="s">
        <v>205</v>
      </c>
      <c r="E42" s="8" t="n">
        <v>3</v>
      </c>
      <c r="F42" s="8" t="n">
        <v>3</v>
      </c>
      <c r="G42" s="8" t="s">
        <v>240</v>
      </c>
      <c r="H42" s="10" t="s">
        <v>207</v>
      </c>
      <c r="I42" s="8" t="s">
        <v>157</v>
      </c>
      <c r="J42" s="8" t="s">
        <v>198</v>
      </c>
    </row>
    <row r="43" customFormat="false" ht="42.75" hidden="false" customHeight="true" outlineLevel="0" collapsed="false">
      <c r="A43" s="9" t="s">
        <v>264</v>
      </c>
      <c r="B43" s="10" t="n">
        <v>33</v>
      </c>
      <c r="C43" s="8" t="s">
        <v>265</v>
      </c>
      <c r="D43" s="10" t="s">
        <v>205</v>
      </c>
      <c r="E43" s="8" t="n">
        <v>3</v>
      </c>
      <c r="F43" s="8" t="n">
        <v>3</v>
      </c>
      <c r="G43" s="8" t="s">
        <v>266</v>
      </c>
      <c r="H43" s="10" t="s">
        <v>207</v>
      </c>
      <c r="I43" s="8" t="s">
        <v>157</v>
      </c>
      <c r="J43" s="8" t="s">
        <v>198</v>
      </c>
    </row>
    <row r="44" customFormat="false" ht="42.75" hidden="false" customHeight="true" outlineLevel="0" collapsed="false">
      <c r="A44" s="9" t="s">
        <v>267</v>
      </c>
      <c r="B44" s="10" t="n">
        <v>81</v>
      </c>
      <c r="C44" s="8" t="s">
        <v>268</v>
      </c>
      <c r="D44" s="10" t="s">
        <v>205</v>
      </c>
      <c r="E44" s="8" t="n">
        <v>3</v>
      </c>
      <c r="F44" s="8" t="n">
        <v>3</v>
      </c>
      <c r="G44" s="8" t="s">
        <v>240</v>
      </c>
      <c r="H44" s="10" t="s">
        <v>207</v>
      </c>
      <c r="I44" s="8" t="s">
        <v>157</v>
      </c>
      <c r="J44" s="8" t="s">
        <v>198</v>
      </c>
    </row>
    <row r="45" customFormat="false" ht="42.75" hidden="false" customHeight="true" outlineLevel="0" collapsed="false">
      <c r="A45" s="9" t="s">
        <v>269</v>
      </c>
      <c r="B45" s="10" t="n">
        <v>145</v>
      </c>
      <c r="C45" s="8" t="s">
        <v>186</v>
      </c>
      <c r="D45" s="10" t="s">
        <v>205</v>
      </c>
      <c r="E45" s="8" t="n">
        <v>3</v>
      </c>
      <c r="F45" s="8" t="n">
        <v>3</v>
      </c>
      <c r="G45" s="8" t="s">
        <v>240</v>
      </c>
      <c r="H45" s="10" t="s">
        <v>207</v>
      </c>
      <c r="I45" s="8" t="s">
        <v>157</v>
      </c>
      <c r="J45" s="8" t="s">
        <v>158</v>
      </c>
    </row>
    <row r="46" customFormat="false" ht="42.75" hidden="false" customHeight="true" outlineLevel="0" collapsed="false">
      <c r="A46" s="9" t="s">
        <v>270</v>
      </c>
      <c r="B46" s="10" t="n">
        <v>146</v>
      </c>
      <c r="C46" s="8" t="s">
        <v>268</v>
      </c>
      <c r="D46" s="10" t="s">
        <v>205</v>
      </c>
      <c r="E46" s="8" t="n">
        <v>3</v>
      </c>
      <c r="F46" s="8" t="n">
        <v>3</v>
      </c>
      <c r="G46" s="8" t="s">
        <v>240</v>
      </c>
      <c r="H46" s="10" t="s">
        <v>207</v>
      </c>
      <c r="I46" s="8" t="s">
        <v>157</v>
      </c>
      <c r="J46" s="8" t="s">
        <v>198</v>
      </c>
    </row>
    <row r="47" customFormat="false" ht="55.5" hidden="false" customHeight="true" outlineLevel="0" collapsed="false">
      <c r="A47" s="9" t="s">
        <v>271</v>
      </c>
      <c r="B47" s="10" t="n">
        <v>138</v>
      </c>
      <c r="C47" s="8" t="s">
        <v>272</v>
      </c>
      <c r="D47" s="10" t="s">
        <v>205</v>
      </c>
      <c r="E47" s="8" t="n">
        <v>3</v>
      </c>
      <c r="F47" s="8" t="n">
        <v>3</v>
      </c>
      <c r="G47" s="8" t="s">
        <v>240</v>
      </c>
      <c r="H47" s="10" t="s">
        <v>207</v>
      </c>
      <c r="I47" s="8" t="s">
        <v>157</v>
      </c>
      <c r="J47" s="8" t="s">
        <v>198</v>
      </c>
    </row>
    <row r="48" customFormat="false" ht="42.75" hidden="false" customHeight="true" outlineLevel="0" collapsed="false">
      <c r="A48" s="9" t="s">
        <v>273</v>
      </c>
      <c r="B48" s="10" t="n">
        <v>141</v>
      </c>
      <c r="C48" s="8" t="s">
        <v>274</v>
      </c>
      <c r="D48" s="10" t="s">
        <v>205</v>
      </c>
      <c r="E48" s="8" t="n">
        <v>3</v>
      </c>
      <c r="F48" s="8" t="n">
        <v>3</v>
      </c>
      <c r="G48" s="8" t="s">
        <v>240</v>
      </c>
      <c r="H48" s="10" t="s">
        <v>207</v>
      </c>
      <c r="I48" s="8" t="s">
        <v>157</v>
      </c>
      <c r="J48" s="8" t="s">
        <v>198</v>
      </c>
    </row>
    <row r="49" customFormat="false" ht="42.75" hidden="false" customHeight="true" outlineLevel="0" collapsed="false">
      <c r="A49" s="9" t="s">
        <v>275</v>
      </c>
      <c r="B49" s="10" t="n">
        <v>142</v>
      </c>
      <c r="C49" s="8" t="s">
        <v>276</v>
      </c>
      <c r="D49" s="10" t="s">
        <v>205</v>
      </c>
      <c r="E49" s="8" t="n">
        <v>3</v>
      </c>
      <c r="F49" s="8" t="n">
        <v>3</v>
      </c>
      <c r="G49" s="8" t="s">
        <v>240</v>
      </c>
      <c r="H49" s="10" t="s">
        <v>207</v>
      </c>
      <c r="I49" s="8" t="s">
        <v>157</v>
      </c>
      <c r="J49" s="8" t="s">
        <v>198</v>
      </c>
    </row>
    <row r="50" customFormat="false" ht="42.75" hidden="false" customHeight="true" outlineLevel="0" collapsed="false">
      <c r="A50" s="9" t="s">
        <v>277</v>
      </c>
      <c r="B50" s="10" t="n">
        <v>42</v>
      </c>
      <c r="C50" s="8" t="s">
        <v>278</v>
      </c>
      <c r="D50" s="10" t="s">
        <v>205</v>
      </c>
      <c r="E50" s="8" t="n">
        <v>3</v>
      </c>
      <c r="F50" s="8" t="n">
        <v>3</v>
      </c>
      <c r="G50" s="8" t="s">
        <v>279</v>
      </c>
      <c r="H50" s="10" t="s">
        <v>207</v>
      </c>
      <c r="I50" s="8" t="s">
        <v>157</v>
      </c>
      <c r="J50" s="8" t="s">
        <v>198</v>
      </c>
    </row>
    <row r="51" customFormat="false" ht="42.75" hidden="false" customHeight="true" outlineLevel="0" collapsed="false">
      <c r="A51" s="9" t="s">
        <v>280</v>
      </c>
      <c r="B51" s="10" t="n">
        <v>43</v>
      </c>
      <c r="C51" s="8" t="s">
        <v>281</v>
      </c>
      <c r="D51" s="10" t="s">
        <v>205</v>
      </c>
      <c r="E51" s="8" t="n">
        <v>3</v>
      </c>
      <c r="F51" s="8" t="n">
        <v>3</v>
      </c>
      <c r="G51" s="8" t="s">
        <v>279</v>
      </c>
      <c r="H51" s="10" t="s">
        <v>207</v>
      </c>
      <c r="I51" s="8" t="s">
        <v>157</v>
      </c>
      <c r="J51" s="8" t="s">
        <v>198</v>
      </c>
    </row>
    <row r="52" customFormat="false" ht="55.5" hidden="false" customHeight="true" outlineLevel="0" collapsed="false">
      <c r="A52" s="9" t="s">
        <v>282</v>
      </c>
      <c r="B52" s="10" t="n">
        <v>34</v>
      </c>
      <c r="C52" s="8" t="s">
        <v>283</v>
      </c>
      <c r="D52" s="10" t="s">
        <v>205</v>
      </c>
      <c r="E52" s="8" t="n">
        <v>3</v>
      </c>
      <c r="F52" s="8" t="n">
        <v>3</v>
      </c>
      <c r="G52" s="8" t="s">
        <v>279</v>
      </c>
      <c r="H52" s="10" t="s">
        <v>207</v>
      </c>
      <c r="I52" s="8" t="s">
        <v>157</v>
      </c>
      <c r="J52" s="8" t="s">
        <v>198</v>
      </c>
    </row>
    <row r="53" customFormat="false" ht="42.75" hidden="false" customHeight="true" outlineLevel="0" collapsed="false">
      <c r="A53" s="9" t="s">
        <v>284</v>
      </c>
      <c r="B53" s="10" t="n">
        <v>35</v>
      </c>
      <c r="C53" s="8" t="s">
        <v>285</v>
      </c>
      <c r="D53" s="10" t="s">
        <v>205</v>
      </c>
      <c r="E53" s="8" t="n">
        <v>3</v>
      </c>
      <c r="F53" s="8" t="n">
        <v>3</v>
      </c>
      <c r="G53" s="8" t="s">
        <v>279</v>
      </c>
      <c r="H53" s="10" t="s">
        <v>207</v>
      </c>
      <c r="I53" s="8" t="s">
        <v>157</v>
      </c>
      <c r="J53" s="8" t="s">
        <v>198</v>
      </c>
    </row>
    <row r="54" customFormat="false" ht="42.75" hidden="false" customHeight="true" outlineLevel="0" collapsed="false">
      <c r="A54" s="9" t="s">
        <v>286</v>
      </c>
      <c r="B54" s="10" t="n">
        <v>84</v>
      </c>
      <c r="C54" s="8" t="s">
        <v>287</v>
      </c>
      <c r="D54" s="10" t="s">
        <v>205</v>
      </c>
      <c r="E54" s="8" t="n">
        <v>3</v>
      </c>
      <c r="F54" s="8" t="n">
        <v>3</v>
      </c>
      <c r="G54" s="8" t="s">
        <v>279</v>
      </c>
      <c r="H54" s="10" t="s">
        <v>207</v>
      </c>
      <c r="I54" s="8" t="s">
        <v>157</v>
      </c>
      <c r="J54" s="8" t="s">
        <v>198</v>
      </c>
    </row>
    <row r="55" customFormat="false" ht="42.75" hidden="false" customHeight="true" outlineLevel="0" collapsed="false">
      <c r="A55" s="9" t="s">
        <v>288</v>
      </c>
      <c r="B55" s="10" t="n">
        <v>87</v>
      </c>
      <c r="C55" s="8" t="s">
        <v>289</v>
      </c>
      <c r="D55" s="10" t="s">
        <v>205</v>
      </c>
      <c r="E55" s="8" t="n">
        <v>3</v>
      </c>
      <c r="F55" s="8" t="n">
        <v>3</v>
      </c>
      <c r="G55" s="8" t="s">
        <v>279</v>
      </c>
      <c r="H55" s="10" t="s">
        <v>207</v>
      </c>
      <c r="I55" s="8" t="s">
        <v>157</v>
      </c>
      <c r="J55" s="8" t="s">
        <v>158</v>
      </c>
    </row>
    <row r="56" customFormat="false" ht="15" hidden="false" customHeight="true" outlineLevel="0" collapsed="false">
      <c r="A56" s="9"/>
      <c r="B56" s="10"/>
      <c r="C56" s="8"/>
      <c r="D56" s="10"/>
      <c r="E56" s="8"/>
      <c r="F56" s="8"/>
      <c r="G56" s="8"/>
      <c r="H56" s="10"/>
      <c r="I56" s="8"/>
    </row>
    <row r="57" customFormat="false" ht="15" hidden="false" customHeight="true" outlineLevel="0" collapsed="false">
      <c r="A57" s="3" t="s">
        <v>290</v>
      </c>
      <c r="B57" s="10"/>
      <c r="C57" s="8"/>
      <c r="D57" s="10"/>
      <c r="E57" s="8"/>
      <c r="F57" s="8"/>
      <c r="G57" s="8"/>
      <c r="H57" s="10"/>
      <c r="I57" s="8"/>
    </row>
    <row r="58" customFormat="false" ht="15" hidden="false" customHeight="true" outlineLevel="0" collapsed="false">
      <c r="A58" s="9"/>
      <c r="B58" s="10"/>
      <c r="C58" s="8"/>
      <c r="D58" s="10"/>
      <c r="E58" s="8"/>
      <c r="F58" s="8"/>
      <c r="G58" s="8"/>
      <c r="H58" s="10"/>
      <c r="I58" s="8"/>
    </row>
    <row r="59" customFormat="false" ht="15" hidden="false" customHeight="true" outlineLevel="0" collapsed="false">
      <c r="A59" s="9"/>
      <c r="B59" s="10"/>
      <c r="C59" s="8"/>
      <c r="D59" s="10"/>
      <c r="E59" s="8"/>
      <c r="F59" s="8"/>
      <c r="G59" s="8"/>
      <c r="H59" s="10"/>
      <c r="I59" s="8"/>
    </row>
    <row r="60" customFormat="false" ht="15" hidden="false" customHeight="true" outlineLevel="0" collapsed="false">
      <c r="A60" s="9"/>
      <c r="B60" s="10"/>
      <c r="C60" s="8"/>
      <c r="D60" s="10"/>
      <c r="E60" s="8"/>
      <c r="F60" s="8"/>
      <c r="G60" s="8"/>
      <c r="H60" s="10"/>
      <c r="I60" s="8"/>
    </row>
    <row r="61" customFormat="false" ht="15" hidden="false" customHeight="true" outlineLevel="0" collapsed="false">
      <c r="A61" s="9"/>
      <c r="B61" s="10"/>
      <c r="C61" s="8"/>
      <c r="D61" s="10"/>
      <c r="E61" s="8"/>
      <c r="F61" s="8"/>
      <c r="G61" s="8"/>
      <c r="H61" s="10"/>
      <c r="I61" s="8"/>
    </row>
    <row r="62" customFormat="false" ht="15" hidden="false" customHeight="true" outlineLevel="0" collapsed="false">
      <c r="A62" s="9"/>
      <c r="B62" s="10"/>
      <c r="C62" s="8"/>
      <c r="D62" s="10"/>
      <c r="E62" s="8"/>
      <c r="F62" s="8"/>
      <c r="G62" s="8"/>
      <c r="H62" s="10"/>
      <c r="I62" s="8"/>
    </row>
    <row r="63" customFormat="false" ht="15" hidden="false" customHeight="true" outlineLevel="0" collapsed="false">
      <c r="A63" s="9"/>
      <c r="B63" s="10"/>
      <c r="C63" s="8"/>
      <c r="D63" s="10"/>
      <c r="E63" s="8"/>
      <c r="F63" s="8"/>
      <c r="G63" s="8"/>
      <c r="H63" s="10"/>
      <c r="I63" s="8"/>
    </row>
    <row r="64" customFormat="false" ht="15" hidden="false" customHeight="true" outlineLevel="0" collapsed="false">
      <c r="A64" s="9"/>
      <c r="B64" s="10"/>
      <c r="C64" s="8"/>
      <c r="D64" s="10"/>
      <c r="E64" s="8"/>
      <c r="F64" s="8"/>
      <c r="G64" s="8"/>
      <c r="H64" s="10"/>
      <c r="I64" s="8"/>
    </row>
    <row r="65" customFormat="false" ht="15" hidden="false" customHeight="true" outlineLevel="0" collapsed="false">
      <c r="A65" s="9"/>
      <c r="B65" s="10"/>
      <c r="C65" s="8"/>
      <c r="D65" s="10"/>
      <c r="E65" s="8"/>
      <c r="F65" s="8"/>
      <c r="G65" s="8"/>
      <c r="H65" s="10"/>
      <c r="I65" s="8"/>
    </row>
    <row r="66" customFormat="false" ht="15" hidden="false" customHeight="true" outlineLevel="0" collapsed="false">
      <c r="A66" s="9"/>
      <c r="B66" s="10"/>
      <c r="C66" s="8"/>
      <c r="D66" s="10"/>
      <c r="E66" s="8"/>
      <c r="F66" s="8"/>
      <c r="G66" s="8"/>
      <c r="H66" s="10"/>
      <c r="I66" s="8"/>
    </row>
    <row r="67" customFormat="false" ht="15" hidden="false" customHeight="true" outlineLevel="0" collapsed="false">
      <c r="A67" s="9"/>
      <c r="B67" s="10"/>
      <c r="C67" s="8"/>
      <c r="D67" s="10"/>
      <c r="E67" s="8"/>
      <c r="F67" s="8"/>
      <c r="G67" s="8"/>
      <c r="H67" s="10"/>
      <c r="I67" s="8"/>
    </row>
    <row r="68" customFormat="false" ht="15" hidden="false" customHeight="true" outlineLevel="0" collapsed="false">
      <c r="A68" s="9"/>
      <c r="B68" s="10"/>
      <c r="C68" s="8"/>
      <c r="D68" s="10"/>
      <c r="E68" s="8"/>
      <c r="F68" s="8"/>
      <c r="G68" s="8"/>
      <c r="H68" s="10"/>
      <c r="I68" s="8"/>
    </row>
    <row r="69" customFormat="false" ht="15" hidden="false" customHeight="true" outlineLevel="0" collapsed="false">
      <c r="A69" s="9"/>
      <c r="B69" s="10"/>
      <c r="C69" s="8"/>
      <c r="D69" s="10"/>
      <c r="E69" s="8"/>
      <c r="F69" s="8"/>
      <c r="G69" s="8"/>
      <c r="H69" s="10"/>
      <c r="I69" s="8"/>
    </row>
    <row r="70" customFormat="false" ht="15" hidden="false" customHeight="true" outlineLevel="0" collapsed="false">
      <c r="A70" s="9"/>
      <c r="B70" s="10"/>
      <c r="C70" s="8"/>
      <c r="D70" s="10"/>
      <c r="E70" s="8"/>
      <c r="F70" s="8"/>
      <c r="G70" s="8"/>
      <c r="H70" s="10"/>
      <c r="I70" s="8"/>
    </row>
    <row r="71" customFormat="false" ht="15" hidden="false" customHeight="true" outlineLevel="0" collapsed="false">
      <c r="A71" s="9"/>
      <c r="B71" s="10"/>
      <c r="C71" s="8"/>
      <c r="D71" s="10"/>
      <c r="E71" s="8"/>
      <c r="F71" s="8"/>
      <c r="G71" s="8"/>
      <c r="H71" s="10"/>
      <c r="I71" s="8"/>
    </row>
    <row r="72" customFormat="false" ht="15" hidden="false" customHeight="true" outlineLevel="0" collapsed="false">
      <c r="A72" s="9"/>
      <c r="B72" s="10"/>
      <c r="C72" s="8"/>
      <c r="D72" s="10"/>
      <c r="E72" s="8"/>
      <c r="F72" s="8"/>
      <c r="G72" s="8"/>
      <c r="H72" s="10"/>
      <c r="I72" s="8"/>
    </row>
    <row r="73" customFormat="false" ht="15" hidden="false" customHeight="true" outlineLevel="0" collapsed="false">
      <c r="A73" s="9"/>
      <c r="B73" s="10"/>
      <c r="C73" s="8"/>
      <c r="D73" s="10"/>
      <c r="E73" s="8"/>
      <c r="F73" s="8"/>
      <c r="G73" s="8"/>
      <c r="H73" s="10"/>
      <c r="I73" s="8"/>
    </row>
    <row r="74" customFormat="false" ht="15" hidden="false" customHeight="true" outlineLevel="0" collapsed="false">
      <c r="A74" s="9"/>
      <c r="B74" s="10"/>
      <c r="C74" s="8"/>
      <c r="D74" s="10"/>
      <c r="E74" s="8"/>
      <c r="F74" s="8"/>
      <c r="G74" s="8"/>
      <c r="H74" s="10"/>
      <c r="I74" s="8"/>
    </row>
    <row r="75" customFormat="false" ht="15" hidden="false" customHeight="true" outlineLevel="0" collapsed="false">
      <c r="A75" s="9"/>
      <c r="B75" s="10"/>
      <c r="C75" s="8"/>
      <c r="D75" s="10"/>
      <c r="E75" s="8"/>
      <c r="F75" s="8"/>
      <c r="G75" s="8"/>
      <c r="H75" s="10"/>
      <c r="I75" s="8"/>
    </row>
    <row r="76" customFormat="false" ht="15" hidden="false" customHeight="true" outlineLevel="0" collapsed="false">
      <c r="A76" s="9"/>
      <c r="B76" s="10"/>
      <c r="C76" s="8"/>
      <c r="D76" s="10"/>
      <c r="E76" s="8"/>
      <c r="F76" s="8"/>
      <c r="G76" s="8"/>
      <c r="H76" s="10"/>
      <c r="I76" s="8"/>
    </row>
    <row r="77" customFormat="false" ht="15" hidden="false" customHeight="true" outlineLevel="0" collapsed="false">
      <c r="A77" s="9"/>
      <c r="B77" s="10"/>
      <c r="C77" s="8"/>
      <c r="D77" s="10"/>
      <c r="E77" s="8"/>
      <c r="F77" s="8"/>
      <c r="G77" s="8"/>
      <c r="H77" s="10"/>
      <c r="I77" s="8"/>
    </row>
    <row r="78" customFormat="false" ht="15" hidden="false" customHeight="true" outlineLevel="0" collapsed="false">
      <c r="A78" s="9"/>
      <c r="B78" s="10"/>
      <c r="C78" s="8"/>
      <c r="D78" s="10"/>
      <c r="E78" s="8"/>
      <c r="F78" s="8"/>
      <c r="G78" s="8"/>
      <c r="H78" s="10"/>
      <c r="I78" s="8"/>
    </row>
    <row r="79" customFormat="false" ht="15" hidden="false" customHeight="true" outlineLevel="0" collapsed="false">
      <c r="A79" s="9"/>
      <c r="B79" s="10"/>
      <c r="C79" s="8"/>
      <c r="D79" s="10"/>
      <c r="E79" s="8"/>
      <c r="F79" s="8"/>
      <c r="G79" s="8"/>
      <c r="H79" s="10"/>
      <c r="I79" s="8"/>
    </row>
    <row r="80" customFormat="false" ht="15" hidden="false" customHeight="true" outlineLevel="0" collapsed="false">
      <c r="A80" s="9"/>
      <c r="B80" s="10"/>
      <c r="C80" s="8"/>
      <c r="D80" s="10"/>
      <c r="E80" s="8"/>
      <c r="F80" s="8"/>
      <c r="G80" s="8"/>
      <c r="H80" s="10"/>
      <c r="I80" s="8"/>
    </row>
    <row r="81" customFormat="false" ht="15" hidden="false" customHeight="true" outlineLevel="0" collapsed="false">
      <c r="A81" s="9"/>
      <c r="B81" s="10"/>
      <c r="C81" s="8"/>
      <c r="D81" s="10"/>
      <c r="E81" s="8"/>
      <c r="F81" s="8"/>
      <c r="G81" s="8"/>
      <c r="H81" s="10"/>
      <c r="I81" s="8"/>
    </row>
    <row r="82" customFormat="false" ht="15" hidden="false" customHeight="true" outlineLevel="0" collapsed="false">
      <c r="A82" s="9"/>
      <c r="B82" s="10"/>
      <c r="C82" s="8"/>
      <c r="D82" s="10"/>
      <c r="E82" s="8"/>
      <c r="F82" s="8"/>
      <c r="G82" s="8"/>
      <c r="H82" s="10"/>
      <c r="I82" s="8"/>
    </row>
    <row r="83" customFormat="false" ht="15" hidden="false" customHeight="true" outlineLevel="0" collapsed="false">
      <c r="A83" s="9"/>
      <c r="B83" s="10"/>
      <c r="C83" s="8"/>
      <c r="D83" s="10"/>
      <c r="E83" s="8"/>
      <c r="F83" s="8"/>
      <c r="G83" s="8"/>
      <c r="H83" s="10"/>
      <c r="I83" s="8"/>
    </row>
    <row r="84" customFormat="false" ht="15" hidden="false" customHeight="true" outlineLevel="0" collapsed="false">
      <c r="A84" s="9"/>
      <c r="B84" s="10"/>
      <c r="C84" s="8"/>
      <c r="D84" s="10"/>
      <c r="E84" s="8"/>
      <c r="F84" s="8"/>
      <c r="G84" s="8"/>
      <c r="H84" s="10"/>
      <c r="I84" s="8"/>
    </row>
    <row r="85" customFormat="false" ht="15" hidden="false" customHeight="true" outlineLevel="0" collapsed="false">
      <c r="A85" s="9"/>
      <c r="B85" s="10"/>
      <c r="C85" s="8"/>
      <c r="D85" s="10"/>
      <c r="E85" s="8"/>
      <c r="F85" s="8"/>
      <c r="G85" s="8"/>
      <c r="H85" s="10"/>
      <c r="I85" s="8"/>
    </row>
    <row r="86" customFormat="false" ht="15" hidden="false" customHeight="true" outlineLevel="0" collapsed="false">
      <c r="A86" s="9"/>
      <c r="B86" s="10"/>
      <c r="C86" s="8"/>
      <c r="D86" s="10"/>
      <c r="E86" s="8"/>
      <c r="F86" s="8"/>
      <c r="G86" s="8"/>
      <c r="H86" s="10"/>
      <c r="I86" s="8"/>
    </row>
    <row r="87" customFormat="false" ht="15" hidden="false" customHeight="true" outlineLevel="0" collapsed="false">
      <c r="A87" s="9"/>
      <c r="B87" s="10"/>
      <c r="C87" s="8"/>
      <c r="D87" s="10"/>
      <c r="E87" s="8"/>
      <c r="F87" s="8"/>
      <c r="G87" s="8"/>
      <c r="H87" s="10"/>
      <c r="I87" s="8"/>
    </row>
    <row r="88" customFormat="false" ht="15" hidden="false" customHeight="true" outlineLevel="0" collapsed="false">
      <c r="A88" s="9"/>
      <c r="B88" s="10"/>
      <c r="C88" s="8"/>
      <c r="D88" s="10"/>
      <c r="E88" s="8"/>
      <c r="F88" s="8"/>
      <c r="G88" s="8"/>
      <c r="H88" s="10"/>
      <c r="I88" s="8"/>
    </row>
    <row r="89" customFormat="false" ht="15" hidden="false" customHeight="true" outlineLevel="0" collapsed="false">
      <c r="A89" s="9"/>
      <c r="B89" s="10"/>
      <c r="C89" s="8"/>
      <c r="D89" s="10"/>
      <c r="E89" s="8"/>
      <c r="F89" s="8"/>
      <c r="G89" s="8"/>
      <c r="H89" s="10"/>
      <c r="I89" s="8"/>
    </row>
    <row r="90" customFormat="false" ht="15" hidden="false" customHeight="true" outlineLevel="0" collapsed="false">
      <c r="A90" s="9"/>
      <c r="B90" s="10"/>
      <c r="C90" s="8"/>
      <c r="D90" s="10"/>
      <c r="E90" s="8"/>
      <c r="F90" s="8"/>
      <c r="G90" s="8"/>
      <c r="H90" s="10"/>
      <c r="I90" s="8"/>
    </row>
    <row r="91" customFormat="false" ht="15" hidden="false" customHeight="true" outlineLevel="0" collapsed="false">
      <c r="A91" s="9"/>
      <c r="B91" s="10"/>
      <c r="C91" s="8"/>
      <c r="D91" s="10"/>
      <c r="E91" s="8"/>
      <c r="F91" s="8"/>
      <c r="G91" s="8"/>
      <c r="H91" s="10"/>
      <c r="I91" s="8"/>
    </row>
    <row r="92" customFormat="false" ht="15" hidden="false" customHeight="true" outlineLevel="0" collapsed="false">
      <c r="A92" s="9"/>
      <c r="B92" s="10"/>
      <c r="C92" s="8"/>
      <c r="D92" s="10"/>
      <c r="E92" s="8"/>
      <c r="F92" s="8"/>
      <c r="G92" s="8"/>
      <c r="H92" s="10"/>
      <c r="I92" s="8"/>
    </row>
    <row r="93" customFormat="false" ht="15" hidden="false" customHeight="true" outlineLevel="0" collapsed="false">
      <c r="A93" s="9"/>
      <c r="B93" s="10"/>
      <c r="C93" s="8"/>
      <c r="D93" s="10"/>
      <c r="E93" s="8"/>
      <c r="F93" s="8"/>
      <c r="G93" s="8"/>
      <c r="H93" s="10"/>
      <c r="I93" s="8"/>
    </row>
    <row r="94" customFormat="false" ht="15" hidden="false" customHeight="true" outlineLevel="0" collapsed="false">
      <c r="A94" s="9"/>
      <c r="B94" s="10"/>
      <c r="C94" s="8"/>
      <c r="D94" s="10"/>
      <c r="E94" s="8"/>
      <c r="F94" s="8"/>
      <c r="G94" s="8"/>
      <c r="H94" s="10"/>
      <c r="I94" s="8"/>
    </row>
    <row r="95" customFormat="false" ht="15" hidden="false" customHeight="true" outlineLevel="0" collapsed="false">
      <c r="A95" s="9"/>
      <c r="B95" s="10"/>
      <c r="C95" s="8"/>
      <c r="D95" s="10"/>
      <c r="E95" s="8"/>
      <c r="F95" s="8"/>
      <c r="G95" s="8"/>
      <c r="H95" s="10"/>
      <c r="I95" s="8"/>
    </row>
    <row r="96" customFormat="false" ht="15" hidden="false" customHeight="true" outlineLevel="0" collapsed="false">
      <c r="A96" s="9"/>
      <c r="B96" s="10"/>
      <c r="C96" s="8"/>
      <c r="D96" s="10"/>
      <c r="E96" s="8"/>
      <c r="F96" s="8"/>
      <c r="G96" s="8"/>
      <c r="H96" s="10"/>
      <c r="I96" s="8"/>
    </row>
    <row r="97" customFormat="false" ht="15" hidden="false" customHeight="true" outlineLevel="0" collapsed="false">
      <c r="A97" s="9"/>
      <c r="B97" s="10"/>
      <c r="C97" s="8"/>
      <c r="D97" s="10"/>
      <c r="E97" s="8"/>
      <c r="F97" s="8"/>
      <c r="G97" s="8"/>
      <c r="H97" s="10"/>
      <c r="I97" s="8"/>
    </row>
    <row r="98" customFormat="false" ht="15" hidden="false" customHeight="true" outlineLevel="0" collapsed="false">
      <c r="A98" s="9"/>
      <c r="B98" s="10"/>
      <c r="C98" s="8"/>
      <c r="D98" s="10"/>
      <c r="E98" s="8"/>
      <c r="F98" s="8"/>
      <c r="G98" s="8"/>
      <c r="H98" s="10"/>
      <c r="I98" s="8"/>
    </row>
    <row r="99" customFormat="false" ht="15" hidden="false" customHeight="true" outlineLevel="0" collapsed="false">
      <c r="A99" s="9"/>
      <c r="B99" s="10"/>
      <c r="C99" s="8"/>
      <c r="D99" s="10"/>
      <c r="E99" s="8"/>
      <c r="F99" s="8"/>
      <c r="G99" s="8"/>
      <c r="H99" s="10"/>
      <c r="I99" s="8"/>
    </row>
    <row r="100" customFormat="false" ht="15" hidden="false" customHeight="true" outlineLevel="0" collapsed="false">
      <c r="A100" s="9"/>
      <c r="B100" s="10"/>
      <c r="C100" s="8"/>
      <c r="D100" s="10"/>
      <c r="E100" s="8"/>
      <c r="F100" s="8"/>
      <c r="G100" s="8"/>
      <c r="H100" s="10"/>
      <c r="I100" s="8"/>
    </row>
    <row r="101" customFormat="false" ht="15" hidden="false" customHeight="true" outlineLevel="0" collapsed="false">
      <c r="A101" s="9"/>
      <c r="B101" s="10"/>
      <c r="C101" s="8"/>
      <c r="D101" s="10"/>
      <c r="E101" s="8"/>
      <c r="F101" s="8"/>
      <c r="G101" s="8"/>
      <c r="H101" s="10"/>
      <c r="I101" s="8"/>
    </row>
    <row r="102" customFormat="false" ht="15" hidden="false" customHeight="true" outlineLevel="0" collapsed="false">
      <c r="A102" s="9"/>
      <c r="B102" s="10"/>
      <c r="C102" s="8"/>
      <c r="D102" s="10"/>
      <c r="E102" s="8"/>
      <c r="F102" s="8"/>
      <c r="G102" s="8"/>
      <c r="H102" s="10"/>
      <c r="I102" s="8"/>
    </row>
    <row r="103" customFormat="false" ht="15" hidden="false" customHeight="true" outlineLevel="0" collapsed="false">
      <c r="A103" s="9"/>
      <c r="B103" s="10"/>
      <c r="C103" s="8"/>
      <c r="D103" s="10"/>
      <c r="E103" s="8"/>
      <c r="F103" s="8"/>
      <c r="G103" s="8"/>
      <c r="H103" s="10"/>
      <c r="I103" s="8"/>
    </row>
    <row r="104" customFormat="false" ht="15" hidden="false" customHeight="true" outlineLevel="0" collapsed="false">
      <c r="A104" s="9"/>
      <c r="B104" s="10"/>
      <c r="C104" s="8"/>
      <c r="D104" s="10"/>
      <c r="E104" s="8"/>
      <c r="F104" s="8"/>
      <c r="G104" s="8"/>
      <c r="H104" s="10"/>
      <c r="I104" s="8"/>
    </row>
    <row r="105" customFormat="false" ht="15" hidden="false" customHeight="true" outlineLevel="0" collapsed="false">
      <c r="A105" s="9"/>
      <c r="B105" s="10"/>
      <c r="C105" s="8"/>
      <c r="D105" s="10"/>
      <c r="E105" s="8"/>
      <c r="F105" s="8"/>
      <c r="G105" s="8"/>
      <c r="H105" s="10"/>
      <c r="I105" s="8"/>
    </row>
    <row r="106" customFormat="false" ht="15" hidden="false" customHeight="true" outlineLevel="0" collapsed="false">
      <c r="A106" s="9"/>
      <c r="B106" s="10"/>
      <c r="C106" s="8"/>
      <c r="D106" s="10"/>
      <c r="E106" s="8"/>
      <c r="F106" s="8"/>
      <c r="G106" s="8"/>
      <c r="H106" s="10"/>
      <c r="I106" s="8"/>
    </row>
    <row r="107" customFormat="false" ht="15" hidden="false" customHeight="true" outlineLevel="0" collapsed="false">
      <c r="A107" s="9"/>
      <c r="B107" s="10"/>
      <c r="C107" s="8"/>
      <c r="D107" s="10"/>
      <c r="E107" s="8"/>
      <c r="F107" s="8"/>
      <c r="G107" s="8"/>
      <c r="H107" s="10"/>
      <c r="I107" s="8"/>
    </row>
    <row r="108" customFormat="false" ht="15" hidden="false" customHeight="true" outlineLevel="0" collapsed="false">
      <c r="A108" s="9"/>
      <c r="B108" s="10"/>
      <c r="C108" s="8"/>
      <c r="D108" s="10"/>
      <c r="E108" s="8"/>
      <c r="F108" s="8"/>
      <c r="G108" s="8"/>
      <c r="H108" s="10"/>
      <c r="I108" s="8"/>
    </row>
    <row r="109" customFormat="false" ht="15" hidden="false" customHeight="true" outlineLevel="0" collapsed="false">
      <c r="A109" s="9"/>
      <c r="B109" s="10"/>
      <c r="C109" s="8"/>
      <c r="D109" s="10"/>
      <c r="E109" s="8"/>
      <c r="F109" s="8"/>
      <c r="G109" s="8"/>
      <c r="H109" s="10"/>
      <c r="I109" s="8"/>
    </row>
    <row r="110" customFormat="false" ht="15" hidden="false" customHeight="true" outlineLevel="0" collapsed="false">
      <c r="A110" s="9"/>
      <c r="B110" s="10"/>
      <c r="C110" s="8"/>
      <c r="D110" s="10"/>
      <c r="E110" s="8"/>
      <c r="F110" s="8"/>
      <c r="G110" s="8"/>
      <c r="H110" s="10"/>
      <c r="I110" s="8"/>
    </row>
    <row r="111" customFormat="false" ht="15" hidden="false" customHeight="true" outlineLevel="0" collapsed="false">
      <c r="A111" s="9"/>
      <c r="B111" s="10"/>
      <c r="C111" s="8"/>
      <c r="D111" s="10"/>
      <c r="E111" s="8"/>
      <c r="F111" s="8"/>
      <c r="G111" s="8"/>
      <c r="H111" s="10"/>
      <c r="I111" s="8"/>
    </row>
    <row r="112" customFormat="false" ht="15" hidden="false" customHeight="true" outlineLevel="0" collapsed="false">
      <c r="A112" s="9"/>
      <c r="B112" s="10"/>
      <c r="C112" s="8"/>
      <c r="D112" s="10"/>
      <c r="E112" s="8"/>
      <c r="F112" s="8"/>
      <c r="G112" s="8"/>
      <c r="H112" s="10"/>
      <c r="I112" s="8"/>
    </row>
    <row r="113" customFormat="false" ht="15" hidden="false" customHeight="true" outlineLevel="0" collapsed="false">
      <c r="A113" s="9"/>
      <c r="B113" s="10"/>
      <c r="C113" s="8"/>
      <c r="D113" s="10"/>
      <c r="E113" s="8"/>
      <c r="F113" s="8"/>
      <c r="G113" s="8"/>
      <c r="H113" s="10"/>
      <c r="I113" s="8"/>
    </row>
    <row r="114" customFormat="false" ht="15" hidden="false" customHeight="true" outlineLevel="0" collapsed="false">
      <c r="A114" s="9"/>
      <c r="B114" s="10"/>
      <c r="C114" s="8"/>
      <c r="D114" s="10"/>
      <c r="E114" s="8"/>
      <c r="F114" s="8"/>
      <c r="G114" s="8"/>
      <c r="H114" s="10"/>
      <c r="I114" s="8"/>
    </row>
    <row r="115" customFormat="false" ht="15" hidden="false" customHeight="true" outlineLevel="0" collapsed="false">
      <c r="A115" s="9"/>
      <c r="B115" s="10"/>
      <c r="C115" s="8"/>
      <c r="D115" s="10"/>
      <c r="E115" s="8"/>
      <c r="F115" s="8"/>
      <c r="G115" s="8"/>
      <c r="H115" s="10"/>
      <c r="I115" s="8"/>
    </row>
    <row r="116" customFormat="false" ht="15" hidden="false" customHeight="true" outlineLevel="0" collapsed="false">
      <c r="A116" s="9"/>
      <c r="B116" s="10"/>
      <c r="C116" s="8"/>
      <c r="D116" s="10"/>
      <c r="E116" s="8"/>
      <c r="F116" s="8"/>
      <c r="G116" s="8"/>
      <c r="H116" s="10"/>
      <c r="I116" s="8"/>
    </row>
    <row r="117" customFormat="false" ht="15" hidden="false" customHeight="true" outlineLevel="0" collapsed="false">
      <c r="A117" s="9"/>
      <c r="B117" s="10"/>
      <c r="C117" s="8"/>
      <c r="D117" s="10"/>
      <c r="E117" s="8"/>
      <c r="F117" s="8"/>
      <c r="G117" s="8"/>
      <c r="H117" s="10"/>
      <c r="I117" s="8"/>
    </row>
    <row r="118" customFormat="false" ht="15" hidden="false" customHeight="true" outlineLevel="0" collapsed="false">
      <c r="A118" s="9"/>
      <c r="B118" s="10"/>
      <c r="C118" s="8"/>
      <c r="D118" s="10"/>
      <c r="E118" s="8"/>
      <c r="F118" s="8"/>
      <c r="G118" s="8"/>
      <c r="H118" s="10"/>
      <c r="I118" s="8"/>
    </row>
    <row r="119" customFormat="false" ht="15" hidden="false" customHeight="true" outlineLevel="0" collapsed="false">
      <c r="A119" s="9"/>
      <c r="B119" s="10"/>
      <c r="C119" s="8"/>
      <c r="D119" s="10"/>
      <c r="E119" s="8"/>
      <c r="F119" s="8"/>
      <c r="G119" s="8"/>
      <c r="H119" s="10"/>
      <c r="I119" s="8"/>
    </row>
    <row r="120" customFormat="false" ht="15" hidden="false" customHeight="true" outlineLevel="0" collapsed="false">
      <c r="A120" s="9"/>
      <c r="B120" s="10"/>
      <c r="C120" s="8"/>
      <c r="D120" s="10"/>
      <c r="E120" s="8"/>
      <c r="F120" s="8"/>
      <c r="G120" s="8"/>
      <c r="H120" s="10"/>
      <c r="I120" s="8"/>
    </row>
    <row r="121" customFormat="false" ht="15" hidden="false" customHeight="true" outlineLevel="0" collapsed="false">
      <c r="A121" s="9"/>
      <c r="B121" s="10"/>
      <c r="C121" s="8"/>
      <c r="D121" s="10"/>
      <c r="E121" s="8"/>
      <c r="F121" s="8"/>
      <c r="G121" s="8"/>
      <c r="H121" s="10"/>
      <c r="I121" s="8"/>
    </row>
    <row r="122" customFormat="false" ht="15" hidden="false" customHeight="true" outlineLevel="0" collapsed="false">
      <c r="A122" s="9"/>
      <c r="B122" s="10"/>
      <c r="C122" s="8"/>
      <c r="D122" s="10"/>
      <c r="E122" s="8"/>
      <c r="F122" s="8"/>
      <c r="G122" s="8"/>
      <c r="H122" s="10"/>
      <c r="I122" s="8"/>
    </row>
    <row r="123" customFormat="false" ht="15" hidden="false" customHeight="true" outlineLevel="0" collapsed="false">
      <c r="A123" s="9"/>
      <c r="B123" s="10"/>
      <c r="C123" s="8"/>
      <c r="D123" s="10"/>
      <c r="E123" s="8"/>
      <c r="F123" s="8"/>
      <c r="G123" s="8"/>
      <c r="H123" s="10"/>
      <c r="I123" s="8"/>
    </row>
    <row r="124" customFormat="false" ht="15" hidden="false" customHeight="true" outlineLevel="0" collapsed="false">
      <c r="A124" s="9"/>
      <c r="B124" s="10"/>
      <c r="C124" s="8"/>
      <c r="D124" s="10"/>
      <c r="E124" s="8"/>
      <c r="F124" s="8"/>
      <c r="G124" s="8"/>
      <c r="H124" s="10"/>
      <c r="I124" s="8"/>
    </row>
    <row r="125" customFormat="false" ht="15" hidden="false" customHeight="true" outlineLevel="0" collapsed="false">
      <c r="A125" s="9"/>
      <c r="B125" s="10"/>
      <c r="C125" s="8"/>
      <c r="D125" s="10"/>
      <c r="E125" s="8"/>
      <c r="F125" s="8"/>
      <c r="G125" s="8"/>
      <c r="H125" s="10"/>
      <c r="I125" s="8"/>
    </row>
    <row r="126" customFormat="false" ht="15" hidden="false" customHeight="true" outlineLevel="0" collapsed="false">
      <c r="A126" s="9"/>
      <c r="B126" s="10"/>
      <c r="C126" s="8"/>
      <c r="D126" s="10"/>
      <c r="E126" s="8"/>
      <c r="F126" s="8"/>
      <c r="G126" s="8"/>
      <c r="H126" s="10"/>
      <c r="I126" s="8"/>
    </row>
    <row r="127" customFormat="false" ht="15" hidden="false" customHeight="true" outlineLevel="0" collapsed="false">
      <c r="A127" s="9"/>
      <c r="B127" s="10"/>
      <c r="C127" s="8"/>
      <c r="D127" s="10"/>
      <c r="E127" s="8"/>
      <c r="F127" s="8"/>
      <c r="G127" s="8"/>
      <c r="H127" s="10"/>
      <c r="I127" s="8"/>
    </row>
    <row r="128" customFormat="false" ht="15" hidden="false" customHeight="true" outlineLevel="0" collapsed="false">
      <c r="A128" s="9"/>
      <c r="B128" s="10"/>
      <c r="C128" s="8"/>
      <c r="D128" s="10"/>
      <c r="E128" s="8"/>
      <c r="F128" s="8"/>
      <c r="G128" s="8"/>
      <c r="H128" s="10"/>
      <c r="I128" s="8"/>
    </row>
    <row r="129" customFormat="false" ht="15" hidden="false" customHeight="true" outlineLevel="0" collapsed="false">
      <c r="A129" s="9"/>
      <c r="B129" s="10"/>
      <c r="C129" s="8"/>
      <c r="D129" s="10"/>
      <c r="E129" s="8"/>
      <c r="F129" s="8"/>
      <c r="G129" s="8"/>
      <c r="H129" s="10"/>
      <c r="I129" s="8"/>
    </row>
    <row r="130" customFormat="false" ht="15" hidden="false" customHeight="true" outlineLevel="0" collapsed="false">
      <c r="A130" s="9"/>
      <c r="B130" s="10"/>
      <c r="C130" s="8"/>
      <c r="D130" s="10"/>
      <c r="E130" s="8"/>
      <c r="F130" s="8"/>
      <c r="G130" s="8"/>
      <c r="H130" s="10"/>
      <c r="I130" s="8"/>
    </row>
    <row r="131" customFormat="false" ht="15" hidden="false" customHeight="true" outlineLevel="0" collapsed="false">
      <c r="A131" s="9"/>
      <c r="B131" s="10"/>
      <c r="C131" s="8"/>
      <c r="D131" s="10"/>
      <c r="E131" s="8"/>
      <c r="F131" s="8"/>
      <c r="G131" s="8"/>
      <c r="H131" s="10"/>
      <c r="I131" s="8"/>
    </row>
    <row r="132" customFormat="false" ht="15" hidden="false" customHeight="true" outlineLevel="0" collapsed="false">
      <c r="A132" s="9"/>
      <c r="B132" s="10"/>
      <c r="C132" s="8"/>
      <c r="D132" s="10"/>
      <c r="E132" s="8"/>
      <c r="F132" s="8"/>
      <c r="G132" s="8"/>
      <c r="H132" s="10"/>
      <c r="I132" s="8"/>
    </row>
    <row r="133" customFormat="false" ht="15" hidden="false" customHeight="true" outlineLevel="0" collapsed="false">
      <c r="A133" s="9"/>
      <c r="B133" s="10"/>
      <c r="C133" s="8"/>
      <c r="D133" s="10"/>
      <c r="E133" s="8"/>
      <c r="F133" s="8"/>
      <c r="G133" s="8"/>
      <c r="H133" s="10"/>
      <c r="I133" s="8"/>
    </row>
    <row r="134" customFormat="false" ht="15" hidden="false" customHeight="true" outlineLevel="0" collapsed="false">
      <c r="A134" s="9"/>
      <c r="B134" s="10"/>
      <c r="C134" s="8"/>
      <c r="D134" s="10"/>
      <c r="E134" s="8"/>
      <c r="F134" s="8"/>
      <c r="G134" s="8"/>
      <c r="H134" s="10"/>
      <c r="I134" s="8"/>
    </row>
    <row r="135" customFormat="false" ht="15" hidden="false" customHeight="true" outlineLevel="0" collapsed="false">
      <c r="A135" s="9"/>
      <c r="B135" s="10"/>
      <c r="C135" s="8"/>
      <c r="D135" s="10"/>
      <c r="E135" s="8"/>
      <c r="F135" s="8"/>
      <c r="G135" s="8"/>
      <c r="H135" s="10"/>
      <c r="I135" s="8"/>
    </row>
    <row r="136" customFormat="false" ht="15" hidden="false" customHeight="true" outlineLevel="0" collapsed="false">
      <c r="A136" s="9"/>
      <c r="B136" s="10"/>
      <c r="C136" s="8"/>
      <c r="D136" s="10"/>
      <c r="E136" s="8"/>
      <c r="F136" s="8"/>
      <c r="G136" s="8"/>
      <c r="H136" s="10"/>
      <c r="I136" s="8"/>
    </row>
    <row r="137" customFormat="false" ht="15" hidden="false" customHeight="true" outlineLevel="0" collapsed="false">
      <c r="A137" s="9"/>
      <c r="B137" s="10"/>
      <c r="C137" s="8"/>
      <c r="D137" s="10"/>
      <c r="E137" s="8"/>
      <c r="F137" s="8"/>
      <c r="G137" s="8"/>
      <c r="H137" s="10"/>
      <c r="I137" s="8"/>
    </row>
    <row r="138" customFormat="false" ht="15" hidden="false" customHeight="true" outlineLevel="0" collapsed="false">
      <c r="A138" s="9"/>
      <c r="B138" s="10"/>
      <c r="C138" s="8"/>
      <c r="D138" s="10"/>
      <c r="E138" s="8"/>
      <c r="F138" s="8"/>
      <c r="G138" s="8"/>
      <c r="H138" s="10"/>
      <c r="I138" s="8"/>
    </row>
    <row r="139" customFormat="false" ht="15" hidden="false" customHeight="true" outlineLevel="0" collapsed="false">
      <c r="A139" s="9"/>
      <c r="B139" s="10"/>
      <c r="C139" s="8"/>
      <c r="D139" s="10"/>
      <c r="E139" s="8"/>
      <c r="F139" s="8"/>
      <c r="G139" s="8"/>
      <c r="H139" s="10"/>
      <c r="I139" s="8"/>
    </row>
    <row r="140" customFormat="false" ht="15" hidden="false" customHeight="true" outlineLevel="0" collapsed="false">
      <c r="A140" s="9"/>
      <c r="B140" s="10"/>
      <c r="C140" s="8"/>
      <c r="D140" s="10"/>
      <c r="E140" s="8"/>
      <c r="F140" s="8"/>
      <c r="G140" s="8"/>
      <c r="H140" s="10"/>
      <c r="I140" s="8"/>
    </row>
    <row r="141" customFormat="false" ht="15" hidden="false" customHeight="true" outlineLevel="0" collapsed="false">
      <c r="A141" s="9"/>
      <c r="B141" s="10"/>
      <c r="C141" s="8"/>
      <c r="D141" s="10"/>
      <c r="E141" s="8"/>
      <c r="F141" s="8"/>
      <c r="G141" s="8"/>
      <c r="H141" s="10"/>
      <c r="I141" s="8"/>
    </row>
    <row r="142" customFormat="false" ht="15" hidden="false" customHeight="true" outlineLevel="0" collapsed="false">
      <c r="A142" s="9"/>
      <c r="B142" s="10"/>
      <c r="C142" s="8"/>
      <c r="D142" s="10"/>
      <c r="E142" s="8"/>
      <c r="F142" s="8"/>
      <c r="G142" s="8"/>
      <c r="H142" s="10"/>
      <c r="I142" s="8"/>
    </row>
    <row r="143" customFormat="false" ht="15" hidden="false" customHeight="true" outlineLevel="0" collapsed="false">
      <c r="A143" s="9"/>
      <c r="B143" s="10"/>
      <c r="C143" s="8"/>
      <c r="D143" s="10"/>
      <c r="E143" s="8"/>
      <c r="F143" s="8"/>
      <c r="G143" s="8"/>
      <c r="H143" s="10"/>
      <c r="I143" s="8"/>
    </row>
    <row r="144" customFormat="false" ht="15" hidden="false" customHeight="true" outlineLevel="0" collapsed="false">
      <c r="A144" s="9"/>
      <c r="B144" s="10"/>
      <c r="C144" s="8"/>
      <c r="D144" s="10"/>
      <c r="E144" s="8"/>
      <c r="F144" s="8"/>
      <c r="G144" s="8"/>
      <c r="H144" s="10"/>
      <c r="I144" s="8"/>
    </row>
    <row r="145" customFormat="false" ht="15" hidden="false" customHeight="true" outlineLevel="0" collapsed="false">
      <c r="A145" s="9"/>
      <c r="B145" s="10"/>
      <c r="C145" s="8"/>
      <c r="D145" s="10"/>
      <c r="E145" s="8"/>
      <c r="F145" s="8"/>
      <c r="G145" s="8"/>
      <c r="H145" s="10"/>
      <c r="I145" s="8"/>
    </row>
    <row r="146" customFormat="false" ht="15" hidden="false" customHeight="true" outlineLevel="0" collapsed="false">
      <c r="A146" s="9"/>
      <c r="B146" s="10"/>
      <c r="C146" s="8"/>
      <c r="D146" s="10"/>
      <c r="E146" s="8"/>
      <c r="F146" s="8"/>
      <c r="G146" s="8"/>
      <c r="H146" s="10"/>
      <c r="I146" s="8"/>
    </row>
    <row r="147" customFormat="false" ht="15" hidden="false" customHeight="true" outlineLevel="0" collapsed="false">
      <c r="A147" s="9"/>
      <c r="B147" s="10"/>
      <c r="C147" s="8"/>
      <c r="D147" s="10"/>
      <c r="E147" s="8"/>
      <c r="F147" s="8"/>
      <c r="G147" s="8"/>
      <c r="H147" s="10"/>
      <c r="I147" s="8"/>
    </row>
    <row r="148" customFormat="false" ht="15" hidden="false" customHeight="true" outlineLevel="0" collapsed="false">
      <c r="A148" s="9"/>
      <c r="B148" s="10"/>
      <c r="C148" s="8"/>
      <c r="D148" s="10"/>
      <c r="E148" s="8"/>
      <c r="F148" s="8"/>
      <c r="G148" s="8"/>
      <c r="H148" s="10"/>
      <c r="I148" s="8"/>
    </row>
    <row r="149" customFormat="false" ht="15" hidden="false" customHeight="true" outlineLevel="0" collapsed="false">
      <c r="A149" s="9"/>
      <c r="B149" s="10"/>
      <c r="C149" s="8"/>
      <c r="D149" s="10"/>
      <c r="E149" s="8"/>
      <c r="F149" s="8"/>
      <c r="G149" s="8"/>
      <c r="H149" s="10"/>
      <c r="I149" s="8"/>
    </row>
    <row r="150" customFormat="false" ht="15" hidden="false" customHeight="true" outlineLevel="0" collapsed="false">
      <c r="A150" s="9"/>
      <c r="B150" s="10"/>
      <c r="C150" s="8"/>
      <c r="D150" s="10"/>
      <c r="E150" s="8"/>
      <c r="F150" s="8"/>
      <c r="G150" s="8"/>
      <c r="H150" s="10"/>
      <c r="I150" s="8"/>
    </row>
    <row r="151" customFormat="false" ht="15" hidden="false" customHeight="true" outlineLevel="0" collapsed="false">
      <c r="A151" s="9"/>
      <c r="B151" s="10"/>
      <c r="C151" s="8"/>
      <c r="D151" s="10"/>
      <c r="E151" s="8"/>
      <c r="F151" s="8"/>
      <c r="G151" s="8"/>
      <c r="H151" s="10"/>
      <c r="I151" s="8"/>
    </row>
    <row r="152" customFormat="false" ht="15" hidden="false" customHeight="true" outlineLevel="0" collapsed="false">
      <c r="A152" s="9"/>
      <c r="B152" s="10"/>
      <c r="C152" s="8"/>
      <c r="D152" s="10"/>
      <c r="E152" s="8"/>
      <c r="F152" s="8"/>
      <c r="G152" s="8"/>
      <c r="H152" s="10"/>
      <c r="I152" s="8"/>
    </row>
    <row r="153" customFormat="false" ht="15" hidden="false" customHeight="true" outlineLevel="0" collapsed="false">
      <c r="A153" s="9"/>
      <c r="B153" s="10"/>
      <c r="C153" s="8"/>
      <c r="D153" s="10"/>
      <c r="E153" s="8"/>
      <c r="F153" s="8"/>
      <c r="G153" s="8"/>
      <c r="H153" s="10"/>
      <c r="I153" s="8"/>
    </row>
    <row r="154" customFormat="false" ht="15" hidden="false" customHeight="true" outlineLevel="0" collapsed="false">
      <c r="A154" s="9"/>
      <c r="B154" s="10"/>
      <c r="C154" s="8"/>
      <c r="D154" s="10"/>
      <c r="E154" s="8"/>
      <c r="F154" s="8"/>
      <c r="G154" s="8"/>
      <c r="H154" s="10"/>
      <c r="I154" s="8"/>
    </row>
    <row r="155" customFormat="false" ht="15" hidden="false" customHeight="true" outlineLevel="0" collapsed="false">
      <c r="A155" s="9"/>
      <c r="B155" s="10"/>
      <c r="C155" s="8"/>
      <c r="D155" s="10"/>
      <c r="E155" s="8"/>
      <c r="F155" s="8"/>
      <c r="G155" s="8"/>
      <c r="H155" s="10"/>
      <c r="I155" s="8"/>
    </row>
    <row r="156" customFormat="false" ht="15" hidden="false" customHeight="true" outlineLevel="0" collapsed="false">
      <c r="A156" s="9"/>
      <c r="B156" s="10"/>
      <c r="C156" s="8"/>
      <c r="D156" s="10"/>
      <c r="E156" s="8"/>
      <c r="F156" s="8"/>
      <c r="G156" s="8"/>
      <c r="H156" s="10"/>
      <c r="I156" s="8"/>
    </row>
    <row r="157" customFormat="false" ht="15" hidden="false" customHeight="true" outlineLevel="0" collapsed="false">
      <c r="A157" s="9"/>
      <c r="B157" s="10"/>
      <c r="C157" s="8"/>
      <c r="D157" s="10"/>
      <c r="E157" s="8"/>
      <c r="F157" s="8"/>
      <c r="G157" s="8"/>
      <c r="H157" s="10"/>
      <c r="I157" s="8"/>
    </row>
    <row r="158" customFormat="false" ht="15" hidden="false" customHeight="true" outlineLevel="0" collapsed="false">
      <c r="A158" s="9"/>
      <c r="B158" s="10"/>
      <c r="C158" s="8"/>
      <c r="D158" s="10"/>
      <c r="E158" s="8"/>
      <c r="F158" s="8"/>
      <c r="G158" s="8"/>
      <c r="H158" s="10"/>
      <c r="I158" s="8"/>
    </row>
    <row r="159" customFormat="false" ht="15" hidden="false" customHeight="true" outlineLevel="0" collapsed="false">
      <c r="A159" s="9"/>
      <c r="B159" s="10"/>
      <c r="C159" s="8"/>
      <c r="D159" s="10"/>
      <c r="E159" s="8"/>
      <c r="F159" s="8"/>
      <c r="G159" s="8"/>
      <c r="H159" s="10"/>
      <c r="I159" s="8"/>
    </row>
    <row r="160" customFormat="false" ht="15" hidden="false" customHeight="true" outlineLevel="0" collapsed="false">
      <c r="A160" s="9"/>
      <c r="B160" s="10"/>
      <c r="C160" s="8"/>
      <c r="D160" s="10"/>
      <c r="E160" s="8"/>
      <c r="F160" s="8"/>
      <c r="G160" s="8"/>
      <c r="H160" s="10"/>
      <c r="I160" s="8"/>
    </row>
    <row r="161" customFormat="false" ht="15" hidden="false" customHeight="true" outlineLevel="0" collapsed="false">
      <c r="A161" s="9"/>
      <c r="B161" s="10"/>
      <c r="C161" s="8"/>
      <c r="D161" s="10"/>
      <c r="E161" s="8"/>
      <c r="F161" s="8"/>
      <c r="G161" s="8"/>
      <c r="H161" s="10"/>
      <c r="I161" s="8"/>
    </row>
    <row r="162" customFormat="false" ht="15" hidden="false" customHeight="true" outlineLevel="0" collapsed="false">
      <c r="A162" s="9"/>
      <c r="B162" s="10"/>
      <c r="C162" s="8"/>
      <c r="D162" s="10"/>
      <c r="E162" s="8"/>
      <c r="F162" s="8"/>
      <c r="G162" s="8"/>
      <c r="H162" s="10"/>
      <c r="I162" s="8"/>
    </row>
    <row r="163" customFormat="false" ht="15" hidden="false" customHeight="true" outlineLevel="0" collapsed="false">
      <c r="A163" s="9"/>
      <c r="B163" s="10"/>
      <c r="C163" s="8"/>
      <c r="D163" s="10"/>
      <c r="E163" s="8"/>
      <c r="F163" s="8"/>
      <c r="G163" s="8"/>
      <c r="H163" s="10"/>
      <c r="I163" s="8"/>
    </row>
    <row r="164" customFormat="false" ht="15" hidden="false" customHeight="true" outlineLevel="0" collapsed="false">
      <c r="A164" s="9"/>
      <c r="B164" s="10"/>
      <c r="C164" s="8"/>
      <c r="D164" s="10"/>
      <c r="E164" s="8"/>
      <c r="F164" s="8"/>
      <c r="G164" s="8"/>
      <c r="H164" s="10"/>
      <c r="I164" s="8"/>
    </row>
    <row r="165" customFormat="false" ht="15" hidden="false" customHeight="true" outlineLevel="0" collapsed="false">
      <c r="A165" s="9"/>
      <c r="B165" s="10"/>
      <c r="C165" s="8"/>
      <c r="D165" s="10"/>
      <c r="E165" s="8"/>
      <c r="F165" s="8"/>
      <c r="G165" s="8"/>
      <c r="H165" s="10"/>
      <c r="I165" s="8"/>
    </row>
    <row r="166" customFormat="false" ht="15" hidden="false" customHeight="true" outlineLevel="0" collapsed="false">
      <c r="A166" s="9"/>
      <c r="B166" s="10"/>
      <c r="C166" s="8"/>
      <c r="D166" s="10"/>
      <c r="E166" s="8"/>
      <c r="F166" s="8"/>
      <c r="G166" s="8"/>
      <c r="H166" s="10"/>
      <c r="I166" s="8"/>
    </row>
    <row r="167" customFormat="false" ht="15" hidden="false" customHeight="true" outlineLevel="0" collapsed="false">
      <c r="A167" s="9"/>
      <c r="B167" s="10"/>
      <c r="C167" s="8"/>
      <c r="D167" s="10"/>
      <c r="E167" s="8"/>
      <c r="F167" s="8"/>
      <c r="G167" s="8"/>
      <c r="H167" s="10"/>
      <c r="I167" s="8"/>
    </row>
    <row r="168" customFormat="false" ht="15" hidden="false" customHeight="true" outlineLevel="0" collapsed="false">
      <c r="A168" s="9"/>
      <c r="B168" s="10"/>
      <c r="C168" s="8"/>
      <c r="D168" s="10"/>
      <c r="E168" s="8"/>
      <c r="F168" s="8"/>
      <c r="G168" s="8"/>
    </row>
    <row r="169" customFormat="false" ht="15" hidden="false" customHeight="true" outlineLevel="0" collapsed="false">
      <c r="A169" s="13"/>
      <c r="B169" s="10"/>
      <c r="C169" s="8"/>
      <c r="D169" s="10"/>
      <c r="E169" s="8"/>
      <c r="F169" s="8"/>
      <c r="G169" s="8"/>
    </row>
    <row r="170" customFormat="false" ht="15" hidden="false" customHeight="true" outlineLevel="0" collapsed="false">
      <c r="C170" s="14"/>
      <c r="D170" s="14"/>
    </row>
    <row r="171" customFormat="false" ht="15" hidden="false" customHeight="true" outlineLevel="0" collapsed="false">
      <c r="C171" s="14"/>
      <c r="D171" s="14"/>
    </row>
    <row r="172" customFormat="false" ht="15" hidden="false" customHeight="true" outlineLevel="0" collapsed="false">
      <c r="C172" s="14"/>
      <c r="D172" s="14"/>
    </row>
    <row r="173" customFormat="false" ht="15" hidden="false" customHeight="true" outlineLevel="0" collapsed="false">
      <c r="C173" s="14"/>
      <c r="D173" s="14"/>
    </row>
    <row r="174" customFormat="false" ht="15" hidden="false" customHeight="true" outlineLevel="0" collapsed="false">
      <c r="C174" s="14"/>
      <c r="D174" s="14"/>
    </row>
    <row r="175" customFormat="false" ht="15" hidden="false" customHeight="true" outlineLevel="0" collapsed="false">
      <c r="C175" s="14"/>
      <c r="D175" s="14"/>
    </row>
    <row r="176" customFormat="false" ht="15" hidden="false" customHeight="true" outlineLevel="0" collapsed="false">
      <c r="C176" s="14"/>
      <c r="D176" s="14"/>
    </row>
    <row r="177" customFormat="false" ht="15" hidden="false" customHeight="true" outlineLevel="0" collapsed="false">
      <c r="C177" s="14"/>
      <c r="D177" s="14"/>
    </row>
    <row r="178" customFormat="false" ht="15" hidden="false" customHeight="true" outlineLevel="0" collapsed="false">
      <c r="C178" s="14"/>
      <c r="D178" s="14"/>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E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46"/>
    <col collapsed="false" customWidth="true" hidden="false" outlineLevel="0" max="4" min="4" style="1" width="11"/>
    <col collapsed="false" customWidth="true" hidden="false" outlineLevel="0" max="5" min="5" style="1" width="20"/>
    <col collapsed="false" customWidth="true" hidden="false" outlineLevel="0" max="6" min="6" style="1" width="26"/>
    <col collapsed="false" customWidth="true" hidden="false" outlineLevel="0" max="7" min="7" style="1" width="11"/>
    <col collapsed="false" customWidth="true" hidden="false" outlineLevel="0" max="8" min="8" style="1" width="18"/>
    <col collapsed="false" customWidth="true" hidden="false" outlineLevel="0" max="9" min="9" style="1" width="8"/>
    <col collapsed="false" customWidth="true" hidden="false" outlineLevel="0" max="10" min="10" style="1" width="18"/>
    <col collapsed="false" customWidth="true" hidden="false" outlineLevel="0" max="11" min="11" style="1" width="8"/>
    <col collapsed="false" customWidth="true" hidden="false" outlineLevel="0" max="12" min="12" style="1" width="9"/>
    <col collapsed="false" customWidth="true" hidden="false" outlineLevel="0" max="14" min="13" style="1" width="11"/>
    <col collapsed="false" customWidth="true" hidden="false" outlineLevel="0" max="15" min="15" style="1" width="28"/>
    <col collapsed="false" customWidth="true" hidden="false" outlineLevel="0" max="17" min="16" style="1" width="30"/>
    <col collapsed="false" customWidth="true" hidden="false" outlineLevel="0" max="18" min="18" style="1" width="9"/>
    <col collapsed="false" customWidth="true" hidden="false" outlineLevel="0" max="19" min="19" style="1" width="24"/>
    <col collapsed="false" customWidth="true" hidden="false" outlineLevel="0" max="31" min="20" style="1" width="4.2"/>
  </cols>
  <sheetData>
    <row r="1" customFormat="false" ht="17.25" hidden="false" customHeight="true" outlineLevel="0" collapsed="false">
      <c r="A1" s="2" t="s">
        <v>291</v>
      </c>
    </row>
    <row r="2" customFormat="false" ht="15" hidden="false" customHeight="true" outlineLevel="0" collapsed="false">
      <c r="A2" s="3" t="s">
        <v>292</v>
      </c>
    </row>
    <row r="3" customFormat="false" ht="15" hidden="false" customHeight="true" outlineLevel="0" collapsed="false">
      <c r="A3" s="15" t="s">
        <v>293</v>
      </c>
      <c r="B3" s="15"/>
      <c r="C3" s="15"/>
      <c r="D3" s="16" t="n">
        <v>46328</v>
      </c>
    </row>
    <row r="4" customFormat="false" ht="15" hidden="false" customHeight="true" outlineLevel="0" collapsed="false">
      <c r="T4" s="17" t="n">
        <v>1</v>
      </c>
      <c r="U4" s="17" t="n">
        <v>2</v>
      </c>
      <c r="V4" s="17" t="n">
        <v>3</v>
      </c>
      <c r="W4" s="17" t="n">
        <v>4</v>
      </c>
      <c r="X4" s="17" t="n">
        <v>5</v>
      </c>
      <c r="Y4" s="17" t="n">
        <v>6</v>
      </c>
      <c r="Z4" s="17" t="n">
        <v>7</v>
      </c>
      <c r="AA4" s="17" t="n">
        <v>8</v>
      </c>
      <c r="AB4" s="17" t="n">
        <v>9</v>
      </c>
      <c r="AC4" s="17" t="n">
        <v>10</v>
      </c>
      <c r="AD4" s="17" t="n">
        <v>11</v>
      </c>
      <c r="AE4" s="17" t="n">
        <v>12</v>
      </c>
    </row>
    <row r="5" customFormat="false" ht="42" hidden="false" customHeight="true" outlineLevel="0" collapsed="false">
      <c r="A5" s="6" t="s">
        <v>142</v>
      </c>
      <c r="B5" s="6" t="s">
        <v>294</v>
      </c>
      <c r="C5" s="6" t="s">
        <v>295</v>
      </c>
      <c r="D5" s="6" t="s">
        <v>296</v>
      </c>
      <c r="E5" s="6" t="s">
        <v>297</v>
      </c>
      <c r="F5" s="6" t="s">
        <v>298</v>
      </c>
      <c r="G5" s="6" t="s">
        <v>299</v>
      </c>
      <c r="H5" s="6" t="s">
        <v>300</v>
      </c>
      <c r="I5" s="6" t="s">
        <v>301</v>
      </c>
      <c r="J5" s="6" t="s">
        <v>302</v>
      </c>
      <c r="K5" s="6" t="s">
        <v>303</v>
      </c>
      <c r="L5" s="6" t="s">
        <v>304</v>
      </c>
      <c r="M5" s="6" t="s">
        <v>305</v>
      </c>
      <c r="N5" s="6" t="s">
        <v>306</v>
      </c>
      <c r="O5" s="6" t="s">
        <v>307</v>
      </c>
      <c r="P5" s="6" t="s">
        <v>308</v>
      </c>
      <c r="Q5" s="6" t="s">
        <v>309</v>
      </c>
      <c r="R5" s="6" t="s">
        <v>145</v>
      </c>
      <c r="S5" s="6" t="s">
        <v>310</v>
      </c>
      <c r="T5" s="6" t="s">
        <v>311</v>
      </c>
      <c r="U5" s="6" t="s">
        <v>312</v>
      </c>
      <c r="V5" s="6" t="s">
        <v>313</v>
      </c>
      <c r="W5" s="6" t="s">
        <v>314</v>
      </c>
      <c r="X5" s="6" t="s">
        <v>315</v>
      </c>
      <c r="Y5" s="6" t="s">
        <v>157</v>
      </c>
      <c r="Z5" s="6" t="s">
        <v>316</v>
      </c>
      <c r="AA5" s="6" t="s">
        <v>317</v>
      </c>
      <c r="AB5" s="6" t="s">
        <v>318</v>
      </c>
      <c r="AC5" s="6" t="s">
        <v>319</v>
      </c>
      <c r="AD5" s="6" t="s">
        <v>320</v>
      </c>
      <c r="AE5" s="6" t="s">
        <v>321</v>
      </c>
    </row>
    <row r="6" customFormat="false" ht="81.75" hidden="false" customHeight="true" outlineLevel="0" collapsed="false">
      <c r="A6" s="7" t="s">
        <v>322</v>
      </c>
      <c r="B6" s="8" t="s">
        <v>323</v>
      </c>
      <c r="C6" s="8" t="s">
        <v>324</v>
      </c>
      <c r="D6" s="8" t="s">
        <v>325</v>
      </c>
      <c r="E6" s="8" t="s">
        <v>326</v>
      </c>
      <c r="F6" s="8" t="s">
        <v>327</v>
      </c>
      <c r="G6" s="8" t="s">
        <v>328</v>
      </c>
      <c r="H6" s="8" t="s">
        <v>329</v>
      </c>
      <c r="I6" s="10" t="s">
        <v>330</v>
      </c>
      <c r="J6" s="10" t="s">
        <v>331</v>
      </c>
      <c r="K6" s="10" t="n">
        <v>1</v>
      </c>
      <c r="L6" s="10" t="n">
        <v>1</v>
      </c>
      <c r="M6" s="18" t="n">
        <f aca="false">EDATE($D$3,K6-1)</f>
        <v>46328</v>
      </c>
      <c r="N6" s="18" t="n">
        <f aca="false">EDATE($D$3,L6)-1</f>
        <v>46357</v>
      </c>
      <c r="O6" s="8" t="s">
        <v>332</v>
      </c>
      <c r="P6" s="8" t="s">
        <v>333</v>
      </c>
      <c r="Q6" s="8" t="s">
        <v>334</v>
      </c>
      <c r="R6" s="10" t="s">
        <v>335</v>
      </c>
      <c r="S6" s="8" t="s">
        <v>336</v>
      </c>
      <c r="T6" s="19" t="n">
        <f aca="false">IF(AND(T$4&gt;=$K6,T$4&lt;=$L6),1,"")</f>
        <v>1</v>
      </c>
      <c r="U6" s="19" t="str">
        <f aca="false">IF(AND(U$4&gt;=$K6,U$4&lt;=$L6),1,"")</f>
        <v/>
      </c>
      <c r="V6" s="19" t="str">
        <f aca="false">IF(AND(V$4&gt;=$K6,V$4&lt;=$L6),1,"")</f>
        <v/>
      </c>
      <c r="W6" s="19" t="str">
        <f aca="false">IF(AND(W$4&gt;=$K6,W$4&lt;=$L6),1,"")</f>
        <v/>
      </c>
      <c r="X6" s="19" t="str">
        <f aca="false">IF(AND(X$4&gt;=$K6,X$4&lt;=$L6),1,"")</f>
        <v/>
      </c>
      <c r="Y6" s="19" t="str">
        <f aca="false">IF(AND(Y$4&gt;=$K6,Y$4&lt;=$L6),1,"")</f>
        <v/>
      </c>
      <c r="Z6" s="19" t="str">
        <f aca="false">IF(AND(Z$4&gt;=$K6,Z$4&lt;=$L6),1,"")</f>
        <v/>
      </c>
      <c r="AA6" s="19" t="str">
        <f aca="false">IF(AND(AA$4&gt;=$K6,AA$4&lt;=$L6),1,"")</f>
        <v/>
      </c>
      <c r="AB6" s="19" t="str">
        <f aca="false">IF(AND(AB$4&gt;=$K6,AB$4&lt;=$L6),1,"")</f>
        <v/>
      </c>
      <c r="AC6" s="19" t="str">
        <f aca="false">IF(AND(AC$4&gt;=$K6,AC$4&lt;=$L6),1,"")</f>
        <v/>
      </c>
      <c r="AD6" s="19" t="str">
        <f aca="false">IF(AND(AD$4&gt;=$K6,AD$4&lt;=$L6),1,"")</f>
        <v/>
      </c>
      <c r="AE6" s="19" t="str">
        <f aca="false">IF(AND(AE$4&gt;=$K6,AE$4&lt;=$L6),1,"")</f>
        <v/>
      </c>
    </row>
    <row r="7" customFormat="false" ht="94.5" hidden="false" customHeight="true" outlineLevel="0" collapsed="false">
      <c r="A7" s="7" t="s">
        <v>337</v>
      </c>
      <c r="B7" s="8" t="s">
        <v>323</v>
      </c>
      <c r="C7" s="8" t="s">
        <v>338</v>
      </c>
      <c r="D7" s="8" t="s">
        <v>339</v>
      </c>
      <c r="E7" s="8" t="s">
        <v>340</v>
      </c>
      <c r="F7" s="8" t="s">
        <v>341</v>
      </c>
      <c r="G7" s="8" t="s">
        <v>342</v>
      </c>
      <c r="H7" s="8" t="s">
        <v>329</v>
      </c>
      <c r="I7" s="10" t="s">
        <v>330</v>
      </c>
      <c r="J7" s="10" t="s">
        <v>343</v>
      </c>
      <c r="K7" s="10" t="n">
        <v>1</v>
      </c>
      <c r="L7" s="10" t="n">
        <v>2</v>
      </c>
      <c r="M7" s="18" t="n">
        <f aca="false">EDATE($D$3,K7-1)</f>
        <v>46328</v>
      </c>
      <c r="N7" s="18" t="n">
        <f aca="false">EDATE($D$3,L7)-1</f>
        <v>46388</v>
      </c>
      <c r="O7" s="8" t="s">
        <v>344</v>
      </c>
      <c r="P7" s="8" t="s">
        <v>345</v>
      </c>
      <c r="Q7" s="8" t="s">
        <v>346</v>
      </c>
      <c r="R7" s="10" t="s">
        <v>335</v>
      </c>
      <c r="S7" s="8" t="s">
        <v>347</v>
      </c>
      <c r="T7" s="19" t="n">
        <f aca="false">IF(AND(T$4&gt;=$K7,T$4&lt;=$L7),1,"")</f>
        <v>1</v>
      </c>
      <c r="U7" s="19" t="n">
        <f aca="false">IF(AND(U$4&gt;=$K7,U$4&lt;=$L7),1,"")</f>
        <v>1</v>
      </c>
      <c r="V7" s="19" t="str">
        <f aca="false">IF(AND(V$4&gt;=$K7,V$4&lt;=$L7),1,"")</f>
        <v/>
      </c>
      <c r="W7" s="19" t="str">
        <f aca="false">IF(AND(W$4&gt;=$K7,W$4&lt;=$L7),1,"")</f>
        <v/>
      </c>
      <c r="X7" s="19" t="str">
        <f aca="false">IF(AND(X$4&gt;=$K7,X$4&lt;=$L7),1,"")</f>
        <v/>
      </c>
      <c r="Y7" s="19" t="str">
        <f aca="false">IF(AND(Y$4&gt;=$K7,Y$4&lt;=$L7),1,"")</f>
        <v/>
      </c>
      <c r="Z7" s="19" t="str">
        <f aca="false">IF(AND(Z$4&gt;=$K7,Z$4&lt;=$L7),1,"")</f>
        <v/>
      </c>
      <c r="AA7" s="19" t="str">
        <f aca="false">IF(AND(AA$4&gt;=$K7,AA$4&lt;=$L7),1,"")</f>
        <v/>
      </c>
      <c r="AB7" s="19" t="str">
        <f aca="false">IF(AND(AB$4&gt;=$K7,AB$4&lt;=$L7),1,"")</f>
        <v/>
      </c>
      <c r="AC7" s="19" t="str">
        <f aca="false">IF(AND(AC$4&gt;=$K7,AC$4&lt;=$L7),1,"")</f>
        <v/>
      </c>
      <c r="AD7" s="19" t="str">
        <f aca="false">IF(AND(AD$4&gt;=$K7,AD$4&lt;=$L7),1,"")</f>
        <v/>
      </c>
      <c r="AE7" s="19" t="str">
        <f aca="false">IF(AND(AE$4&gt;=$K7,AE$4&lt;=$L7),1,"")</f>
        <v/>
      </c>
    </row>
    <row r="8" customFormat="false" ht="147" hidden="false" customHeight="true" outlineLevel="0" collapsed="false">
      <c r="A8" s="7" t="s">
        <v>348</v>
      </c>
      <c r="B8" s="8" t="s">
        <v>349</v>
      </c>
      <c r="C8" s="8" t="s">
        <v>350</v>
      </c>
      <c r="D8" s="8" t="s">
        <v>351</v>
      </c>
      <c r="E8" s="8" t="s">
        <v>352</v>
      </c>
      <c r="F8" s="8" t="s">
        <v>353</v>
      </c>
      <c r="G8" s="8" t="s">
        <v>354</v>
      </c>
      <c r="H8" s="8" t="s">
        <v>355</v>
      </c>
      <c r="I8" s="10" t="s">
        <v>330</v>
      </c>
      <c r="J8" s="10" t="s">
        <v>356</v>
      </c>
      <c r="K8" s="10" t="n">
        <v>1</v>
      </c>
      <c r="L8" s="10" t="n">
        <v>2</v>
      </c>
      <c r="M8" s="18" t="n">
        <f aca="false">EDATE($D$3,K8-1)</f>
        <v>46328</v>
      </c>
      <c r="N8" s="18" t="n">
        <f aca="false">EDATE($D$3,L8)-1</f>
        <v>46388</v>
      </c>
      <c r="O8" s="8" t="s">
        <v>357</v>
      </c>
      <c r="P8" s="8" t="s">
        <v>358</v>
      </c>
      <c r="Q8" s="8" t="s">
        <v>359</v>
      </c>
      <c r="R8" s="10" t="s">
        <v>335</v>
      </c>
      <c r="S8" s="8" t="s">
        <v>360</v>
      </c>
      <c r="T8" s="19" t="n">
        <f aca="false">IF(AND(T$4&gt;=$K8,T$4&lt;=$L8),1,"")</f>
        <v>1</v>
      </c>
      <c r="U8" s="19" t="n">
        <f aca="false">IF(AND(U$4&gt;=$K8,U$4&lt;=$L8),1,"")</f>
        <v>1</v>
      </c>
      <c r="V8" s="19" t="str">
        <f aca="false">IF(AND(V$4&gt;=$K8,V$4&lt;=$L8),1,"")</f>
        <v/>
      </c>
      <c r="W8" s="19" t="str">
        <f aca="false">IF(AND(W$4&gt;=$K8,W$4&lt;=$L8),1,"")</f>
        <v/>
      </c>
      <c r="X8" s="19" t="str">
        <f aca="false">IF(AND(X$4&gt;=$K8,X$4&lt;=$L8),1,"")</f>
        <v/>
      </c>
      <c r="Y8" s="19" t="str">
        <f aca="false">IF(AND(Y$4&gt;=$K8,Y$4&lt;=$L8),1,"")</f>
        <v/>
      </c>
      <c r="Z8" s="19" t="str">
        <f aca="false">IF(AND(Z$4&gt;=$K8,Z$4&lt;=$L8),1,"")</f>
        <v/>
      </c>
      <c r="AA8" s="19" t="str">
        <f aca="false">IF(AND(AA$4&gt;=$K8,AA$4&lt;=$L8),1,"")</f>
        <v/>
      </c>
      <c r="AB8" s="19" t="str">
        <f aca="false">IF(AND(AB$4&gt;=$K8,AB$4&lt;=$L8),1,"")</f>
        <v/>
      </c>
      <c r="AC8" s="19" t="str">
        <f aca="false">IF(AND(AC$4&gt;=$K8,AC$4&lt;=$L8),1,"")</f>
        <v/>
      </c>
      <c r="AD8" s="19" t="str">
        <f aca="false">IF(AND(AD$4&gt;=$K8,AD$4&lt;=$L8),1,"")</f>
        <v/>
      </c>
      <c r="AE8" s="19" t="str">
        <f aca="false">IF(AND(AE$4&gt;=$K8,AE$4&lt;=$L8),1,"")</f>
        <v/>
      </c>
    </row>
    <row r="9" customFormat="false" ht="69" hidden="false" customHeight="true" outlineLevel="0" collapsed="false">
      <c r="A9" s="7" t="s">
        <v>361</v>
      </c>
      <c r="B9" s="8" t="s">
        <v>349</v>
      </c>
      <c r="C9" s="8" t="s">
        <v>362</v>
      </c>
      <c r="D9" s="8" t="s">
        <v>47</v>
      </c>
      <c r="E9" s="8" t="s">
        <v>53</v>
      </c>
      <c r="F9" s="8" t="s">
        <v>363</v>
      </c>
      <c r="G9" s="8" t="s">
        <v>364</v>
      </c>
      <c r="H9" s="8" t="s">
        <v>365</v>
      </c>
      <c r="I9" s="10" t="s">
        <v>330</v>
      </c>
      <c r="J9" s="10" t="s">
        <v>366</v>
      </c>
      <c r="K9" s="10" t="n">
        <v>1</v>
      </c>
      <c r="L9" s="10" t="n">
        <v>2</v>
      </c>
      <c r="M9" s="18" t="n">
        <f aca="false">EDATE($D$3,K9-1)</f>
        <v>46328</v>
      </c>
      <c r="N9" s="18" t="n">
        <f aca="false">EDATE($D$3,L9)-1</f>
        <v>46388</v>
      </c>
      <c r="O9" s="8" t="s">
        <v>367</v>
      </c>
      <c r="P9" s="8" t="s">
        <v>368</v>
      </c>
      <c r="Q9" s="8" t="s">
        <v>369</v>
      </c>
      <c r="R9" s="10" t="s">
        <v>335</v>
      </c>
      <c r="S9" s="8" t="s">
        <v>370</v>
      </c>
      <c r="T9" s="19" t="n">
        <f aca="false">IF(AND(T$4&gt;=$K9,T$4&lt;=$L9),1,"")</f>
        <v>1</v>
      </c>
      <c r="U9" s="19" t="n">
        <f aca="false">IF(AND(U$4&gt;=$K9,U$4&lt;=$L9),1,"")</f>
        <v>1</v>
      </c>
      <c r="V9" s="19" t="str">
        <f aca="false">IF(AND(V$4&gt;=$K9,V$4&lt;=$L9),1,"")</f>
        <v/>
      </c>
      <c r="W9" s="19" t="str">
        <f aca="false">IF(AND(W$4&gt;=$K9,W$4&lt;=$L9),1,"")</f>
        <v/>
      </c>
      <c r="X9" s="19" t="str">
        <f aca="false">IF(AND(X$4&gt;=$K9,X$4&lt;=$L9),1,"")</f>
        <v/>
      </c>
      <c r="Y9" s="19" t="str">
        <f aca="false">IF(AND(Y$4&gt;=$K9,Y$4&lt;=$L9),1,"")</f>
        <v/>
      </c>
      <c r="Z9" s="19" t="str">
        <f aca="false">IF(AND(Z$4&gt;=$K9,Z$4&lt;=$L9),1,"")</f>
        <v/>
      </c>
      <c r="AA9" s="19" t="str">
        <f aca="false">IF(AND(AA$4&gt;=$K9,AA$4&lt;=$L9),1,"")</f>
        <v/>
      </c>
      <c r="AB9" s="19" t="str">
        <f aca="false">IF(AND(AB$4&gt;=$K9,AB$4&lt;=$L9),1,"")</f>
        <v/>
      </c>
      <c r="AC9" s="19" t="str">
        <f aca="false">IF(AND(AC$4&gt;=$K9,AC$4&lt;=$L9),1,"")</f>
        <v/>
      </c>
      <c r="AD9" s="19" t="str">
        <f aca="false">IF(AND(AD$4&gt;=$K9,AD$4&lt;=$L9),1,"")</f>
        <v/>
      </c>
      <c r="AE9" s="19" t="str">
        <f aca="false">IF(AND(AE$4&gt;=$K9,AE$4&lt;=$L9),1,"")</f>
        <v/>
      </c>
    </row>
    <row r="10" customFormat="false" ht="120.75" hidden="false" customHeight="true" outlineLevel="0" collapsed="false">
      <c r="A10" s="7" t="s">
        <v>371</v>
      </c>
      <c r="B10" s="8" t="s">
        <v>372</v>
      </c>
      <c r="C10" s="8" t="s">
        <v>373</v>
      </c>
      <c r="D10" s="8" t="s">
        <v>374</v>
      </c>
      <c r="E10" s="8" t="s">
        <v>375</v>
      </c>
      <c r="F10" s="8" t="s">
        <v>376</v>
      </c>
      <c r="G10" s="8" t="s">
        <v>377</v>
      </c>
      <c r="H10" s="8" t="s">
        <v>378</v>
      </c>
      <c r="I10" s="10" t="s">
        <v>330</v>
      </c>
      <c r="J10" s="10" t="s">
        <v>379</v>
      </c>
      <c r="K10" s="10" t="n">
        <v>1</v>
      </c>
      <c r="L10" s="10" t="n">
        <v>2</v>
      </c>
      <c r="M10" s="18" t="n">
        <f aca="false">EDATE($D$3,K10-1)</f>
        <v>46328</v>
      </c>
      <c r="N10" s="18" t="n">
        <f aca="false">EDATE($D$3,L10)-1</f>
        <v>46388</v>
      </c>
      <c r="O10" s="8" t="s">
        <v>380</v>
      </c>
      <c r="P10" s="8" t="s">
        <v>381</v>
      </c>
      <c r="Q10" s="8" t="s">
        <v>382</v>
      </c>
      <c r="R10" s="10" t="s">
        <v>335</v>
      </c>
      <c r="S10" s="8" t="s">
        <v>383</v>
      </c>
      <c r="T10" s="19" t="n">
        <f aca="false">IF(AND(T$4&gt;=$K10,T$4&lt;=$L10),1,"")</f>
        <v>1</v>
      </c>
      <c r="U10" s="19" t="n">
        <f aca="false">IF(AND(U$4&gt;=$K10,U$4&lt;=$L10),1,"")</f>
        <v>1</v>
      </c>
      <c r="V10" s="19" t="str">
        <f aca="false">IF(AND(V$4&gt;=$K10,V$4&lt;=$L10),1,"")</f>
        <v/>
      </c>
      <c r="W10" s="19" t="str">
        <f aca="false">IF(AND(W$4&gt;=$K10,W$4&lt;=$L10),1,"")</f>
        <v/>
      </c>
      <c r="X10" s="19" t="str">
        <f aca="false">IF(AND(X$4&gt;=$K10,X$4&lt;=$L10),1,"")</f>
        <v/>
      </c>
      <c r="Y10" s="19" t="str">
        <f aca="false">IF(AND(Y$4&gt;=$K10,Y$4&lt;=$L10),1,"")</f>
        <v/>
      </c>
      <c r="Z10" s="19" t="str">
        <f aca="false">IF(AND(Z$4&gt;=$K10,Z$4&lt;=$L10),1,"")</f>
        <v/>
      </c>
      <c r="AA10" s="19" t="str">
        <f aca="false">IF(AND(AA$4&gt;=$K10,AA$4&lt;=$L10),1,"")</f>
        <v/>
      </c>
      <c r="AB10" s="19" t="str">
        <f aca="false">IF(AND(AB$4&gt;=$K10,AB$4&lt;=$L10),1,"")</f>
        <v/>
      </c>
      <c r="AC10" s="19" t="str">
        <f aca="false">IF(AND(AC$4&gt;=$K10,AC$4&lt;=$L10),1,"")</f>
        <v/>
      </c>
      <c r="AD10" s="19" t="str">
        <f aca="false">IF(AND(AD$4&gt;=$K10,AD$4&lt;=$L10),1,"")</f>
        <v/>
      </c>
      <c r="AE10" s="19" t="str">
        <f aca="false">IF(AND(AE$4&gt;=$K10,AE$4&lt;=$L10),1,"")</f>
        <v/>
      </c>
    </row>
    <row r="11" customFormat="false" ht="81.75" hidden="false" customHeight="true" outlineLevel="0" collapsed="false">
      <c r="A11" s="7" t="s">
        <v>384</v>
      </c>
      <c r="B11" s="8" t="s">
        <v>372</v>
      </c>
      <c r="C11" s="8" t="s">
        <v>385</v>
      </c>
      <c r="D11" s="8" t="s">
        <v>386</v>
      </c>
      <c r="E11" s="8" t="s">
        <v>387</v>
      </c>
      <c r="F11" s="8" t="s">
        <v>388</v>
      </c>
      <c r="G11" s="8" t="s">
        <v>389</v>
      </c>
      <c r="H11" s="8" t="s">
        <v>390</v>
      </c>
      <c r="I11" s="10" t="s">
        <v>391</v>
      </c>
      <c r="J11" s="10" t="s">
        <v>392</v>
      </c>
      <c r="K11" s="10" t="n">
        <v>2</v>
      </c>
      <c r="L11" s="10" t="n">
        <v>4</v>
      </c>
      <c r="M11" s="18" t="n">
        <f aca="false">EDATE($D$3,K11-1)</f>
        <v>46358</v>
      </c>
      <c r="N11" s="18" t="n">
        <f aca="false">EDATE($D$3,L11)-1</f>
        <v>46447</v>
      </c>
      <c r="O11" s="8" t="s">
        <v>393</v>
      </c>
      <c r="P11" s="8" t="s">
        <v>394</v>
      </c>
      <c r="Q11" s="8" t="s">
        <v>395</v>
      </c>
      <c r="R11" s="10" t="s">
        <v>335</v>
      </c>
      <c r="S11" s="8" t="s">
        <v>396</v>
      </c>
      <c r="T11" s="19" t="str">
        <f aca="false">IF(AND(T$4&gt;=$K11,T$4&lt;=$L11),1,"")</f>
        <v/>
      </c>
      <c r="U11" s="19" t="n">
        <f aca="false">IF(AND(U$4&gt;=$K11,U$4&lt;=$L11),1,"")</f>
        <v>1</v>
      </c>
      <c r="V11" s="19" t="n">
        <f aca="false">IF(AND(V$4&gt;=$K11,V$4&lt;=$L11),1,"")</f>
        <v>1</v>
      </c>
      <c r="W11" s="19" t="n">
        <f aca="false">IF(AND(W$4&gt;=$K11,W$4&lt;=$L11),1,"")</f>
        <v>1</v>
      </c>
      <c r="X11" s="19" t="str">
        <f aca="false">IF(AND(X$4&gt;=$K11,X$4&lt;=$L11),1,"")</f>
        <v/>
      </c>
      <c r="Y11" s="19" t="str">
        <f aca="false">IF(AND(Y$4&gt;=$K11,Y$4&lt;=$L11),1,"")</f>
        <v/>
      </c>
      <c r="Z11" s="19" t="str">
        <f aca="false">IF(AND(Z$4&gt;=$K11,Z$4&lt;=$L11),1,"")</f>
        <v/>
      </c>
      <c r="AA11" s="19" t="str">
        <f aca="false">IF(AND(AA$4&gt;=$K11,AA$4&lt;=$L11),1,"")</f>
        <v/>
      </c>
      <c r="AB11" s="19" t="str">
        <f aca="false">IF(AND(AB$4&gt;=$K11,AB$4&lt;=$L11),1,"")</f>
        <v/>
      </c>
      <c r="AC11" s="19" t="str">
        <f aca="false">IF(AND(AC$4&gt;=$K11,AC$4&lt;=$L11),1,"")</f>
        <v/>
      </c>
      <c r="AD11" s="19" t="str">
        <f aca="false">IF(AND(AD$4&gt;=$K11,AD$4&lt;=$L11),1,"")</f>
        <v/>
      </c>
      <c r="AE11" s="19" t="str">
        <f aca="false">IF(AND(AE$4&gt;=$K11,AE$4&lt;=$L11),1,"")</f>
        <v/>
      </c>
    </row>
    <row r="12" customFormat="false" ht="69" hidden="false" customHeight="true" outlineLevel="0" collapsed="false">
      <c r="A12" s="7" t="s">
        <v>397</v>
      </c>
      <c r="B12" s="8" t="s">
        <v>398</v>
      </c>
      <c r="C12" s="8" t="s">
        <v>399</v>
      </c>
      <c r="D12" s="8" t="s">
        <v>83</v>
      </c>
      <c r="E12" s="8" t="s">
        <v>400</v>
      </c>
      <c r="F12" s="8" t="s">
        <v>401</v>
      </c>
      <c r="G12" s="8" t="s">
        <v>91</v>
      </c>
      <c r="H12" s="8" t="s">
        <v>402</v>
      </c>
      <c r="I12" s="10" t="s">
        <v>391</v>
      </c>
      <c r="J12" s="10" t="s">
        <v>403</v>
      </c>
      <c r="K12" s="10" t="n">
        <v>3</v>
      </c>
      <c r="L12" s="10" t="n">
        <v>4</v>
      </c>
      <c r="M12" s="18" t="n">
        <f aca="false">EDATE($D$3,K12-1)</f>
        <v>46389</v>
      </c>
      <c r="N12" s="18" t="n">
        <f aca="false">EDATE($D$3,L12)-1</f>
        <v>46447</v>
      </c>
      <c r="O12" s="8" t="s">
        <v>404</v>
      </c>
      <c r="P12" s="8" t="s">
        <v>405</v>
      </c>
      <c r="Q12" s="8" t="s">
        <v>406</v>
      </c>
      <c r="R12" s="10" t="s">
        <v>335</v>
      </c>
      <c r="S12" s="8" t="s">
        <v>407</v>
      </c>
      <c r="T12" s="19" t="str">
        <f aca="false">IF(AND(T$4&gt;=$K12,T$4&lt;=$L12),1,"")</f>
        <v/>
      </c>
      <c r="U12" s="19" t="str">
        <f aca="false">IF(AND(U$4&gt;=$K12,U$4&lt;=$L12),1,"")</f>
        <v/>
      </c>
      <c r="V12" s="19" t="n">
        <f aca="false">IF(AND(V$4&gt;=$K12,V$4&lt;=$L12),1,"")</f>
        <v>1</v>
      </c>
      <c r="W12" s="19" t="n">
        <f aca="false">IF(AND(W$4&gt;=$K12,W$4&lt;=$L12),1,"")</f>
        <v>1</v>
      </c>
      <c r="X12" s="19" t="str">
        <f aca="false">IF(AND(X$4&gt;=$K12,X$4&lt;=$L12),1,"")</f>
        <v/>
      </c>
      <c r="Y12" s="19" t="str">
        <f aca="false">IF(AND(Y$4&gt;=$K12,Y$4&lt;=$L12),1,"")</f>
        <v/>
      </c>
      <c r="Z12" s="19" t="str">
        <f aca="false">IF(AND(Z$4&gt;=$K12,Z$4&lt;=$L12),1,"")</f>
        <v/>
      </c>
      <c r="AA12" s="19" t="str">
        <f aca="false">IF(AND(AA$4&gt;=$K12,AA$4&lt;=$L12),1,"")</f>
        <v/>
      </c>
      <c r="AB12" s="19" t="str">
        <f aca="false">IF(AND(AB$4&gt;=$K12,AB$4&lt;=$L12),1,"")</f>
        <v/>
      </c>
      <c r="AC12" s="19" t="str">
        <f aca="false">IF(AND(AC$4&gt;=$K12,AC$4&lt;=$L12),1,"")</f>
        <v/>
      </c>
      <c r="AD12" s="19" t="str">
        <f aca="false">IF(AND(AD$4&gt;=$K12,AD$4&lt;=$L12),1,"")</f>
        <v/>
      </c>
      <c r="AE12" s="19" t="str">
        <f aca="false">IF(AND(AE$4&gt;=$K12,AE$4&lt;=$L12),1,"")</f>
        <v/>
      </c>
    </row>
    <row r="13" customFormat="false" ht="120.75" hidden="false" customHeight="true" outlineLevel="0" collapsed="false">
      <c r="A13" s="7" t="s">
        <v>408</v>
      </c>
      <c r="B13" s="8" t="s">
        <v>398</v>
      </c>
      <c r="C13" s="8" t="s">
        <v>409</v>
      </c>
      <c r="D13" s="8" t="s">
        <v>96</v>
      </c>
      <c r="E13" s="8" t="s">
        <v>191</v>
      </c>
      <c r="F13" s="8" t="s">
        <v>410</v>
      </c>
      <c r="G13" s="8" t="s">
        <v>411</v>
      </c>
      <c r="H13" s="8" t="s">
        <v>412</v>
      </c>
      <c r="I13" s="10" t="s">
        <v>391</v>
      </c>
      <c r="J13" s="10" t="s">
        <v>413</v>
      </c>
      <c r="K13" s="10" t="n">
        <v>2</v>
      </c>
      <c r="L13" s="10" t="n">
        <v>2</v>
      </c>
      <c r="M13" s="18" t="n">
        <f aca="false">EDATE($D$3,K13-1)</f>
        <v>46358</v>
      </c>
      <c r="N13" s="18" t="n">
        <f aca="false">EDATE($D$3,L13)-1</f>
        <v>46388</v>
      </c>
      <c r="O13" s="8" t="s">
        <v>414</v>
      </c>
      <c r="P13" s="8" t="s">
        <v>415</v>
      </c>
      <c r="Q13" s="8" t="s">
        <v>416</v>
      </c>
      <c r="R13" s="10" t="s">
        <v>335</v>
      </c>
      <c r="S13" s="8" t="s">
        <v>417</v>
      </c>
      <c r="T13" s="19" t="str">
        <f aca="false">IF(AND(T$4&gt;=$K13,T$4&lt;=$L13),1,"")</f>
        <v/>
      </c>
      <c r="U13" s="19" t="n">
        <f aca="false">IF(AND(U$4&gt;=$K13,U$4&lt;=$L13),1,"")</f>
        <v>1</v>
      </c>
      <c r="V13" s="19" t="str">
        <f aca="false">IF(AND(V$4&gt;=$K13,V$4&lt;=$L13),1,"")</f>
        <v/>
      </c>
      <c r="W13" s="19" t="str">
        <f aca="false">IF(AND(W$4&gt;=$K13,W$4&lt;=$L13),1,"")</f>
        <v/>
      </c>
      <c r="X13" s="19" t="str">
        <f aca="false">IF(AND(X$4&gt;=$K13,X$4&lt;=$L13),1,"")</f>
        <v/>
      </c>
      <c r="Y13" s="19" t="str">
        <f aca="false">IF(AND(Y$4&gt;=$K13,Y$4&lt;=$L13),1,"")</f>
        <v/>
      </c>
      <c r="Z13" s="19" t="str">
        <f aca="false">IF(AND(Z$4&gt;=$K13,Z$4&lt;=$L13),1,"")</f>
        <v/>
      </c>
      <c r="AA13" s="19" t="str">
        <f aca="false">IF(AND(AA$4&gt;=$K13,AA$4&lt;=$L13),1,"")</f>
        <v/>
      </c>
      <c r="AB13" s="19" t="str">
        <f aca="false">IF(AND(AB$4&gt;=$K13,AB$4&lt;=$L13),1,"")</f>
        <v/>
      </c>
      <c r="AC13" s="19" t="str">
        <f aca="false">IF(AND(AC$4&gt;=$K13,AC$4&lt;=$L13),1,"")</f>
        <v/>
      </c>
      <c r="AD13" s="19" t="str">
        <f aca="false">IF(AND(AD$4&gt;=$K13,AD$4&lt;=$L13),1,"")</f>
        <v/>
      </c>
      <c r="AE13" s="19" t="str">
        <f aca="false">IF(AND(AE$4&gt;=$K13,AE$4&lt;=$L13),1,"")</f>
        <v/>
      </c>
    </row>
    <row r="14" customFormat="false" ht="55.5" hidden="false" customHeight="true" outlineLevel="0" collapsed="false">
      <c r="A14" s="7" t="s">
        <v>418</v>
      </c>
      <c r="B14" s="8" t="s">
        <v>349</v>
      </c>
      <c r="C14" s="8" t="s">
        <v>419</v>
      </c>
      <c r="D14" s="8" t="s">
        <v>420</v>
      </c>
      <c r="E14" s="8" t="s">
        <v>421</v>
      </c>
      <c r="F14" s="8" t="s">
        <v>422</v>
      </c>
      <c r="G14" s="8" t="s">
        <v>423</v>
      </c>
      <c r="H14" s="8" t="s">
        <v>329</v>
      </c>
      <c r="I14" s="10" t="s">
        <v>391</v>
      </c>
      <c r="J14" s="10" t="s">
        <v>424</v>
      </c>
      <c r="K14" s="10" t="n">
        <v>2</v>
      </c>
      <c r="L14" s="10" t="n">
        <v>3</v>
      </c>
      <c r="M14" s="18" t="n">
        <f aca="false">EDATE($D$3,K14-1)</f>
        <v>46358</v>
      </c>
      <c r="N14" s="18" t="n">
        <f aca="false">EDATE($D$3,L14)-1</f>
        <v>46419</v>
      </c>
      <c r="O14" s="8" t="s">
        <v>425</v>
      </c>
      <c r="P14" s="8" t="s">
        <v>426</v>
      </c>
      <c r="Q14" s="8" t="s">
        <v>427</v>
      </c>
      <c r="R14" s="10" t="s">
        <v>335</v>
      </c>
      <c r="S14" s="8" t="s">
        <v>428</v>
      </c>
      <c r="T14" s="19" t="str">
        <f aca="false">IF(AND(T$4&gt;=$K14,T$4&lt;=$L14),1,"")</f>
        <v/>
      </c>
      <c r="U14" s="19" t="n">
        <f aca="false">IF(AND(U$4&gt;=$K14,U$4&lt;=$L14),1,"")</f>
        <v>1</v>
      </c>
      <c r="V14" s="19" t="n">
        <f aca="false">IF(AND(V$4&gt;=$K14,V$4&lt;=$L14),1,"")</f>
        <v>1</v>
      </c>
      <c r="W14" s="19" t="str">
        <f aca="false">IF(AND(W$4&gt;=$K14,W$4&lt;=$L14),1,"")</f>
        <v/>
      </c>
      <c r="X14" s="19" t="str">
        <f aca="false">IF(AND(X$4&gt;=$K14,X$4&lt;=$L14),1,"")</f>
        <v/>
      </c>
      <c r="Y14" s="19" t="str">
        <f aca="false">IF(AND(Y$4&gt;=$K14,Y$4&lt;=$L14),1,"")</f>
        <v/>
      </c>
      <c r="Z14" s="19" t="str">
        <f aca="false">IF(AND(Z$4&gt;=$K14,Z$4&lt;=$L14),1,"")</f>
        <v/>
      </c>
      <c r="AA14" s="19" t="str">
        <f aca="false">IF(AND(AA$4&gt;=$K14,AA$4&lt;=$L14),1,"")</f>
        <v/>
      </c>
      <c r="AB14" s="19" t="str">
        <f aca="false">IF(AND(AB$4&gt;=$K14,AB$4&lt;=$L14),1,"")</f>
        <v/>
      </c>
      <c r="AC14" s="19" t="str">
        <f aca="false">IF(AND(AC$4&gt;=$K14,AC$4&lt;=$L14),1,"")</f>
        <v/>
      </c>
      <c r="AD14" s="19" t="str">
        <f aca="false">IF(AND(AD$4&gt;=$K14,AD$4&lt;=$L14),1,"")</f>
        <v/>
      </c>
      <c r="AE14" s="19" t="str">
        <f aca="false">IF(AND(AE$4&gt;=$K14,AE$4&lt;=$L14),1,"")</f>
        <v/>
      </c>
    </row>
    <row r="15" customFormat="false" ht="120.75" hidden="false" customHeight="true" outlineLevel="0" collapsed="false">
      <c r="A15" s="7" t="s">
        <v>429</v>
      </c>
      <c r="B15" s="8" t="s">
        <v>323</v>
      </c>
      <c r="C15" s="8" t="s">
        <v>430</v>
      </c>
      <c r="D15" s="8" t="s">
        <v>431</v>
      </c>
      <c r="E15" s="8" t="s">
        <v>432</v>
      </c>
      <c r="F15" s="8" t="s">
        <v>433</v>
      </c>
      <c r="G15" s="8" t="s">
        <v>328</v>
      </c>
      <c r="H15" s="8" t="s">
        <v>434</v>
      </c>
      <c r="I15" s="10" t="s">
        <v>391</v>
      </c>
      <c r="J15" s="10" t="s">
        <v>331</v>
      </c>
      <c r="K15" s="10" t="n">
        <v>2</v>
      </c>
      <c r="L15" s="10" t="n">
        <v>3</v>
      </c>
      <c r="M15" s="18" t="n">
        <f aca="false">EDATE($D$3,K15-1)</f>
        <v>46358</v>
      </c>
      <c r="N15" s="18" t="n">
        <f aca="false">EDATE($D$3,L15)-1</f>
        <v>46419</v>
      </c>
      <c r="O15" s="8" t="s">
        <v>435</v>
      </c>
      <c r="P15" s="8" t="s">
        <v>436</v>
      </c>
      <c r="Q15" s="8" t="s">
        <v>437</v>
      </c>
      <c r="R15" s="10" t="s">
        <v>335</v>
      </c>
      <c r="S15" s="8" t="s">
        <v>438</v>
      </c>
      <c r="T15" s="19" t="str">
        <f aca="false">IF(AND(T$4&gt;=$K15,T$4&lt;=$L15),1,"")</f>
        <v/>
      </c>
      <c r="U15" s="19" t="n">
        <f aca="false">IF(AND(U$4&gt;=$K15,U$4&lt;=$L15),1,"")</f>
        <v>1</v>
      </c>
      <c r="V15" s="19" t="n">
        <f aca="false">IF(AND(V$4&gt;=$K15,V$4&lt;=$L15),1,"")</f>
        <v>1</v>
      </c>
      <c r="W15" s="19" t="str">
        <f aca="false">IF(AND(W$4&gt;=$K15,W$4&lt;=$L15),1,"")</f>
        <v/>
      </c>
      <c r="X15" s="19" t="str">
        <f aca="false">IF(AND(X$4&gt;=$K15,X$4&lt;=$L15),1,"")</f>
        <v/>
      </c>
      <c r="Y15" s="19" t="str">
        <f aca="false">IF(AND(Y$4&gt;=$K15,Y$4&lt;=$L15),1,"")</f>
        <v/>
      </c>
      <c r="Z15" s="19" t="str">
        <f aca="false">IF(AND(Z$4&gt;=$K15,Z$4&lt;=$L15),1,"")</f>
        <v/>
      </c>
      <c r="AA15" s="19" t="str">
        <f aca="false">IF(AND(AA$4&gt;=$K15,AA$4&lt;=$L15),1,"")</f>
        <v/>
      </c>
      <c r="AB15" s="19" t="str">
        <f aca="false">IF(AND(AB$4&gt;=$K15,AB$4&lt;=$L15),1,"")</f>
        <v/>
      </c>
      <c r="AC15" s="19" t="str">
        <f aca="false">IF(AND(AC$4&gt;=$K15,AC$4&lt;=$L15),1,"")</f>
        <v/>
      </c>
      <c r="AD15" s="19" t="str">
        <f aca="false">IF(AND(AD$4&gt;=$K15,AD$4&lt;=$L15),1,"")</f>
        <v/>
      </c>
      <c r="AE15" s="19" t="str">
        <f aca="false">IF(AND(AE$4&gt;=$K15,AE$4&lt;=$L15),1,"")</f>
        <v/>
      </c>
    </row>
    <row r="16" customFormat="false" ht="69" hidden="false" customHeight="true" outlineLevel="0" collapsed="false">
      <c r="A16" s="7" t="s">
        <v>439</v>
      </c>
      <c r="B16" s="8" t="s">
        <v>323</v>
      </c>
      <c r="C16" s="8" t="s">
        <v>440</v>
      </c>
      <c r="D16" s="8" t="s">
        <v>107</v>
      </c>
      <c r="E16" s="8" t="s">
        <v>113</v>
      </c>
      <c r="F16" s="8" t="s">
        <v>441</v>
      </c>
      <c r="G16" s="8" t="s">
        <v>115</v>
      </c>
      <c r="H16" s="8" t="s">
        <v>442</v>
      </c>
      <c r="I16" s="10" t="s">
        <v>391</v>
      </c>
      <c r="J16" s="10" t="s">
        <v>443</v>
      </c>
      <c r="K16" s="10" t="n">
        <v>3</v>
      </c>
      <c r="L16" s="10" t="n">
        <v>6</v>
      </c>
      <c r="M16" s="18" t="n">
        <f aca="false">EDATE($D$3,K16-1)</f>
        <v>46389</v>
      </c>
      <c r="N16" s="18" t="n">
        <f aca="false">EDATE($D$3,L16)-1</f>
        <v>46508</v>
      </c>
      <c r="O16" s="8" t="s">
        <v>435</v>
      </c>
      <c r="P16" s="8" t="s">
        <v>444</v>
      </c>
      <c r="Q16" s="8" t="s">
        <v>445</v>
      </c>
      <c r="R16" s="10" t="s">
        <v>335</v>
      </c>
      <c r="S16" s="8" t="s">
        <v>446</v>
      </c>
      <c r="T16" s="19" t="str">
        <f aca="false">IF(AND(T$4&gt;=$K16,T$4&lt;=$L16),1,"")</f>
        <v/>
      </c>
      <c r="U16" s="19" t="str">
        <f aca="false">IF(AND(U$4&gt;=$K16,U$4&lt;=$L16),1,"")</f>
        <v/>
      </c>
      <c r="V16" s="19" t="n">
        <f aca="false">IF(AND(V$4&gt;=$K16,V$4&lt;=$L16),1,"")</f>
        <v>1</v>
      </c>
      <c r="W16" s="19" t="n">
        <f aca="false">IF(AND(W$4&gt;=$K16,W$4&lt;=$L16),1,"")</f>
        <v>1</v>
      </c>
      <c r="X16" s="19" t="n">
        <f aca="false">IF(AND(X$4&gt;=$K16,X$4&lt;=$L16),1,"")</f>
        <v>1</v>
      </c>
      <c r="Y16" s="19" t="n">
        <f aca="false">IF(AND(Y$4&gt;=$K16,Y$4&lt;=$L16),1,"")</f>
        <v>1</v>
      </c>
      <c r="Z16" s="19" t="str">
        <f aca="false">IF(AND(Z$4&gt;=$K16,Z$4&lt;=$L16),1,"")</f>
        <v/>
      </c>
      <c r="AA16" s="19" t="str">
        <f aca="false">IF(AND(AA$4&gt;=$K16,AA$4&lt;=$L16),1,"")</f>
        <v/>
      </c>
      <c r="AB16" s="19" t="str">
        <f aca="false">IF(AND(AB$4&gt;=$K16,AB$4&lt;=$L16),1,"")</f>
        <v/>
      </c>
      <c r="AC16" s="19" t="str">
        <f aca="false">IF(AND(AC$4&gt;=$K16,AC$4&lt;=$L16),1,"")</f>
        <v/>
      </c>
      <c r="AD16" s="19" t="str">
        <f aca="false">IF(AND(AD$4&gt;=$K16,AD$4&lt;=$L16),1,"")</f>
        <v/>
      </c>
      <c r="AE16" s="19" t="str">
        <f aca="false">IF(AND(AE$4&gt;=$K16,AE$4&lt;=$L16),1,"")</f>
        <v/>
      </c>
    </row>
    <row r="17" customFormat="false" ht="108" hidden="false" customHeight="true" outlineLevel="0" collapsed="false">
      <c r="A17" s="7" t="s">
        <v>447</v>
      </c>
      <c r="B17" s="8" t="s">
        <v>448</v>
      </c>
      <c r="C17" s="8" t="s">
        <v>449</v>
      </c>
      <c r="D17" s="8" t="s">
        <v>450</v>
      </c>
      <c r="E17" s="8" t="s">
        <v>451</v>
      </c>
      <c r="F17" s="8" t="s">
        <v>452</v>
      </c>
      <c r="G17" s="8" t="s">
        <v>58</v>
      </c>
      <c r="H17" s="8" t="s">
        <v>59</v>
      </c>
      <c r="I17" s="10" t="s">
        <v>330</v>
      </c>
      <c r="J17" s="10" t="s">
        <v>453</v>
      </c>
      <c r="K17" s="10" t="n">
        <v>1</v>
      </c>
      <c r="L17" s="10" t="n">
        <v>6</v>
      </c>
      <c r="M17" s="18" t="n">
        <f aca="false">EDATE($D$3,K17-1)</f>
        <v>46328</v>
      </c>
      <c r="N17" s="18" t="n">
        <f aca="false">EDATE($D$3,L17)-1</f>
        <v>46508</v>
      </c>
      <c r="O17" s="8" t="s">
        <v>357</v>
      </c>
      <c r="P17" s="8" t="s">
        <v>454</v>
      </c>
      <c r="Q17" s="8" t="s">
        <v>455</v>
      </c>
      <c r="R17" s="10" t="s">
        <v>335</v>
      </c>
      <c r="S17" s="8" t="s">
        <v>456</v>
      </c>
      <c r="T17" s="19" t="n">
        <f aca="false">IF(AND(T$4&gt;=$K17,T$4&lt;=$L17),1,"")</f>
        <v>1</v>
      </c>
      <c r="U17" s="19" t="n">
        <f aca="false">IF(AND(U$4&gt;=$K17,U$4&lt;=$L17),1,"")</f>
        <v>1</v>
      </c>
      <c r="V17" s="19" t="n">
        <f aca="false">IF(AND(V$4&gt;=$K17,V$4&lt;=$L17),1,"")</f>
        <v>1</v>
      </c>
      <c r="W17" s="19" t="n">
        <f aca="false">IF(AND(W$4&gt;=$K17,W$4&lt;=$L17),1,"")</f>
        <v>1</v>
      </c>
      <c r="X17" s="19" t="n">
        <f aca="false">IF(AND(X$4&gt;=$K17,X$4&lt;=$L17),1,"")</f>
        <v>1</v>
      </c>
      <c r="Y17" s="19" t="n">
        <f aca="false">IF(AND(Y$4&gt;=$K17,Y$4&lt;=$L17),1,"")</f>
        <v>1</v>
      </c>
      <c r="Z17" s="19" t="str">
        <f aca="false">IF(AND(Z$4&gt;=$K17,Z$4&lt;=$L17),1,"")</f>
        <v/>
      </c>
      <c r="AA17" s="19" t="str">
        <f aca="false">IF(AND(AA$4&gt;=$K17,AA$4&lt;=$L17),1,"")</f>
        <v/>
      </c>
      <c r="AB17" s="19" t="str">
        <f aca="false">IF(AND(AB$4&gt;=$K17,AB$4&lt;=$L17),1,"")</f>
        <v/>
      </c>
      <c r="AC17" s="19" t="str">
        <f aca="false">IF(AND(AC$4&gt;=$K17,AC$4&lt;=$L17),1,"")</f>
        <v/>
      </c>
      <c r="AD17" s="19" t="str">
        <f aca="false">IF(AND(AD$4&gt;=$K17,AD$4&lt;=$L17),1,"")</f>
        <v/>
      </c>
      <c r="AE17" s="19" t="str">
        <f aca="false">IF(AND(AE$4&gt;=$K17,AE$4&lt;=$L17),1,"")</f>
        <v/>
      </c>
    </row>
    <row r="18" customFormat="false" ht="81.75" hidden="false" customHeight="true" outlineLevel="0" collapsed="false">
      <c r="A18" s="7" t="s">
        <v>457</v>
      </c>
      <c r="B18" s="8" t="s">
        <v>458</v>
      </c>
      <c r="C18" s="8" t="s">
        <v>459</v>
      </c>
      <c r="D18" s="8" t="s">
        <v>460</v>
      </c>
      <c r="E18" s="8" t="s">
        <v>461</v>
      </c>
      <c r="F18" s="8" t="s">
        <v>462</v>
      </c>
      <c r="G18" s="8" t="s">
        <v>463</v>
      </c>
      <c r="H18" s="8" t="s">
        <v>464</v>
      </c>
      <c r="I18" s="10" t="s">
        <v>330</v>
      </c>
      <c r="J18" s="10" t="s">
        <v>465</v>
      </c>
      <c r="K18" s="10" t="n">
        <v>1</v>
      </c>
      <c r="L18" s="10" t="n">
        <v>1</v>
      </c>
      <c r="M18" s="18" t="n">
        <f aca="false">EDATE($D$3,K18-1)</f>
        <v>46328</v>
      </c>
      <c r="N18" s="18" t="n">
        <f aca="false">EDATE($D$3,L18)-1</f>
        <v>46357</v>
      </c>
      <c r="O18" s="8" t="s">
        <v>357</v>
      </c>
      <c r="P18" s="8" t="s">
        <v>466</v>
      </c>
      <c r="Q18" s="8" t="s">
        <v>467</v>
      </c>
      <c r="R18" s="10" t="s">
        <v>335</v>
      </c>
      <c r="S18" s="8" t="s">
        <v>468</v>
      </c>
      <c r="T18" s="19" t="n">
        <f aca="false">IF(AND(T$4&gt;=$K18,T$4&lt;=$L18),1,"")</f>
        <v>1</v>
      </c>
      <c r="U18" s="19" t="str">
        <f aca="false">IF(AND(U$4&gt;=$K18,U$4&lt;=$L18),1,"")</f>
        <v/>
      </c>
      <c r="V18" s="19" t="str">
        <f aca="false">IF(AND(V$4&gt;=$K18,V$4&lt;=$L18),1,"")</f>
        <v/>
      </c>
      <c r="W18" s="19" t="str">
        <f aca="false">IF(AND(W$4&gt;=$K18,W$4&lt;=$L18),1,"")</f>
        <v/>
      </c>
      <c r="X18" s="19" t="str">
        <f aca="false">IF(AND(X$4&gt;=$K18,X$4&lt;=$L18),1,"")</f>
        <v/>
      </c>
      <c r="Y18" s="19" t="str">
        <f aca="false">IF(AND(Y$4&gt;=$K18,Y$4&lt;=$L18),1,"")</f>
        <v/>
      </c>
      <c r="Z18" s="19" t="str">
        <f aca="false">IF(AND(Z$4&gt;=$K18,Z$4&lt;=$L18),1,"")</f>
        <v/>
      </c>
      <c r="AA18" s="19" t="str">
        <f aca="false">IF(AND(AA$4&gt;=$K18,AA$4&lt;=$L18),1,"")</f>
        <v/>
      </c>
      <c r="AB18" s="19" t="str">
        <f aca="false">IF(AND(AB$4&gt;=$K18,AB$4&lt;=$L18),1,"")</f>
        <v/>
      </c>
      <c r="AC18" s="19" t="str">
        <f aca="false">IF(AND(AC$4&gt;=$K18,AC$4&lt;=$L18),1,"")</f>
        <v/>
      </c>
      <c r="AD18" s="19" t="str">
        <f aca="false">IF(AND(AD$4&gt;=$K18,AD$4&lt;=$L18),1,"")</f>
        <v/>
      </c>
      <c r="AE18" s="19" t="str">
        <f aca="false">IF(AND(AE$4&gt;=$K18,AE$4&lt;=$L18),1,"")</f>
        <v/>
      </c>
    </row>
    <row r="19" customFormat="false" ht="94.5" hidden="false" customHeight="true" outlineLevel="0" collapsed="false">
      <c r="A19" s="7" t="s">
        <v>469</v>
      </c>
      <c r="B19" s="8" t="s">
        <v>448</v>
      </c>
      <c r="C19" s="8" t="s">
        <v>470</v>
      </c>
      <c r="D19" s="8" t="s">
        <v>471</v>
      </c>
      <c r="E19" s="8" t="s">
        <v>472</v>
      </c>
      <c r="F19" s="8" t="s">
        <v>473</v>
      </c>
      <c r="G19" s="8" t="s">
        <v>411</v>
      </c>
      <c r="H19" s="8" t="s">
        <v>402</v>
      </c>
      <c r="I19" s="10" t="s">
        <v>330</v>
      </c>
      <c r="J19" s="10" t="s">
        <v>331</v>
      </c>
      <c r="K19" s="10" t="n">
        <v>1</v>
      </c>
      <c r="L19" s="10" t="n">
        <v>2</v>
      </c>
      <c r="M19" s="18" t="n">
        <f aca="false">EDATE($D$3,K19-1)</f>
        <v>46328</v>
      </c>
      <c r="N19" s="18" t="n">
        <f aca="false">EDATE($D$3,L19)-1</f>
        <v>46388</v>
      </c>
      <c r="O19" s="8" t="s">
        <v>357</v>
      </c>
      <c r="P19" s="8" t="s">
        <v>474</v>
      </c>
      <c r="Q19" s="8" t="s">
        <v>475</v>
      </c>
      <c r="R19" s="10" t="s">
        <v>335</v>
      </c>
      <c r="S19" s="8" t="s">
        <v>476</v>
      </c>
      <c r="T19" s="19" t="n">
        <f aca="false">IF(AND(T$4&gt;=$K19,T$4&lt;=$L19),1,"")</f>
        <v>1</v>
      </c>
      <c r="U19" s="19" t="n">
        <f aca="false">IF(AND(U$4&gt;=$K19,U$4&lt;=$L19),1,"")</f>
        <v>1</v>
      </c>
      <c r="V19" s="19" t="str">
        <f aca="false">IF(AND(V$4&gt;=$K19,V$4&lt;=$L19),1,"")</f>
        <v/>
      </c>
      <c r="W19" s="19" t="str">
        <f aca="false">IF(AND(W$4&gt;=$K19,W$4&lt;=$L19),1,"")</f>
        <v/>
      </c>
      <c r="X19" s="19" t="str">
        <f aca="false">IF(AND(X$4&gt;=$K19,X$4&lt;=$L19),1,"")</f>
        <v/>
      </c>
      <c r="Y19" s="19" t="str">
        <f aca="false">IF(AND(Y$4&gt;=$K19,Y$4&lt;=$L19),1,"")</f>
        <v/>
      </c>
      <c r="Z19" s="19" t="str">
        <f aca="false">IF(AND(Z$4&gt;=$K19,Z$4&lt;=$L19),1,"")</f>
        <v/>
      </c>
      <c r="AA19" s="19" t="str">
        <f aca="false">IF(AND(AA$4&gt;=$K19,AA$4&lt;=$L19),1,"")</f>
        <v/>
      </c>
      <c r="AB19" s="19" t="str">
        <f aca="false">IF(AND(AB$4&gt;=$K19,AB$4&lt;=$L19),1,"")</f>
        <v/>
      </c>
      <c r="AC19" s="19" t="str">
        <f aca="false">IF(AND(AC$4&gt;=$K19,AC$4&lt;=$L19),1,"")</f>
        <v/>
      </c>
      <c r="AD19" s="19" t="str">
        <f aca="false">IF(AND(AD$4&gt;=$K19,AD$4&lt;=$L19),1,"")</f>
        <v/>
      </c>
      <c r="AE19" s="19" t="str">
        <f aca="false">IF(AND(AE$4&gt;=$K19,AE$4&lt;=$L19),1,"")</f>
        <v/>
      </c>
    </row>
    <row r="20" customFormat="false" ht="55.5" hidden="false" customHeight="true" outlineLevel="0" collapsed="false">
      <c r="A20" s="7" t="s">
        <v>477</v>
      </c>
      <c r="B20" s="8" t="s">
        <v>349</v>
      </c>
      <c r="C20" s="8" t="s">
        <v>478</v>
      </c>
      <c r="D20" s="8" t="s">
        <v>118</v>
      </c>
      <c r="E20" s="8" t="s">
        <v>185</v>
      </c>
      <c r="F20" s="8" t="s">
        <v>479</v>
      </c>
      <c r="G20" s="8" t="s">
        <v>480</v>
      </c>
      <c r="H20" s="8" t="s">
        <v>481</v>
      </c>
      <c r="I20" s="10" t="s">
        <v>391</v>
      </c>
      <c r="J20" s="10" t="s">
        <v>482</v>
      </c>
      <c r="K20" s="10" t="n">
        <v>2</v>
      </c>
      <c r="L20" s="10" t="n">
        <v>3</v>
      </c>
      <c r="M20" s="18" t="n">
        <f aca="false">EDATE($D$3,K20-1)</f>
        <v>46358</v>
      </c>
      <c r="N20" s="18" t="n">
        <f aca="false">EDATE($D$3,L20)-1</f>
        <v>46419</v>
      </c>
      <c r="O20" s="8" t="s">
        <v>483</v>
      </c>
      <c r="P20" s="8" t="s">
        <v>484</v>
      </c>
      <c r="Q20" s="8" t="s">
        <v>485</v>
      </c>
      <c r="R20" s="10" t="s">
        <v>335</v>
      </c>
      <c r="S20" s="8" t="s">
        <v>486</v>
      </c>
      <c r="T20" s="19" t="str">
        <f aca="false">IF(AND(T$4&gt;=$K20,T$4&lt;=$L20),1,"")</f>
        <v/>
      </c>
      <c r="U20" s="19" t="n">
        <f aca="false">IF(AND(U$4&gt;=$K20,U$4&lt;=$L20),1,"")</f>
        <v>1</v>
      </c>
      <c r="V20" s="19" t="n">
        <f aca="false">IF(AND(V$4&gt;=$K20,V$4&lt;=$L20),1,"")</f>
        <v>1</v>
      </c>
      <c r="W20" s="19" t="str">
        <f aca="false">IF(AND(W$4&gt;=$K20,W$4&lt;=$L20),1,"")</f>
        <v/>
      </c>
      <c r="X20" s="19" t="str">
        <f aca="false">IF(AND(X$4&gt;=$K20,X$4&lt;=$L20),1,"")</f>
        <v/>
      </c>
      <c r="Y20" s="19" t="str">
        <f aca="false">IF(AND(Y$4&gt;=$K20,Y$4&lt;=$L20),1,"")</f>
        <v/>
      </c>
      <c r="Z20" s="19" t="str">
        <f aca="false">IF(AND(Z$4&gt;=$K20,Z$4&lt;=$L20),1,"")</f>
        <v/>
      </c>
      <c r="AA20" s="19" t="str">
        <f aca="false">IF(AND(AA$4&gt;=$K20,AA$4&lt;=$L20),1,"")</f>
        <v/>
      </c>
      <c r="AB20" s="19" t="str">
        <f aca="false">IF(AND(AB$4&gt;=$K20,AB$4&lt;=$L20),1,"")</f>
        <v/>
      </c>
      <c r="AC20" s="19" t="str">
        <f aca="false">IF(AND(AC$4&gt;=$K20,AC$4&lt;=$L20),1,"")</f>
        <v/>
      </c>
      <c r="AD20" s="19" t="str">
        <f aca="false">IF(AND(AD$4&gt;=$K20,AD$4&lt;=$L20),1,"")</f>
        <v/>
      </c>
      <c r="AE20" s="19" t="str">
        <f aca="false">IF(AND(AE$4&gt;=$K20,AE$4&lt;=$L20),1,"")</f>
        <v/>
      </c>
    </row>
    <row r="21" customFormat="false" ht="108" hidden="false" customHeight="true" outlineLevel="0" collapsed="false">
      <c r="A21" s="7" t="s">
        <v>487</v>
      </c>
      <c r="B21" s="8" t="s">
        <v>349</v>
      </c>
      <c r="C21" s="8" t="s">
        <v>488</v>
      </c>
      <c r="D21" s="8" t="s">
        <v>118</v>
      </c>
      <c r="E21" s="8" t="s">
        <v>173</v>
      </c>
      <c r="F21" s="8" t="s">
        <v>489</v>
      </c>
      <c r="G21" s="8" t="s">
        <v>490</v>
      </c>
      <c r="H21" s="8" t="s">
        <v>491</v>
      </c>
      <c r="I21" s="10" t="s">
        <v>391</v>
      </c>
      <c r="J21" s="10" t="s">
        <v>413</v>
      </c>
      <c r="K21" s="10" t="n">
        <v>2</v>
      </c>
      <c r="L21" s="10" t="n">
        <v>3</v>
      </c>
      <c r="M21" s="18" t="n">
        <f aca="false">EDATE($D$3,K21-1)</f>
        <v>46358</v>
      </c>
      <c r="N21" s="18" t="n">
        <f aca="false">EDATE($D$3,L21)-1</f>
        <v>46419</v>
      </c>
      <c r="O21" s="8" t="s">
        <v>492</v>
      </c>
      <c r="P21" s="8" t="s">
        <v>493</v>
      </c>
      <c r="Q21" s="8" t="s">
        <v>494</v>
      </c>
      <c r="R21" s="10" t="s">
        <v>335</v>
      </c>
      <c r="S21" s="8" t="s">
        <v>495</v>
      </c>
      <c r="T21" s="19" t="str">
        <f aca="false">IF(AND(T$4&gt;=$K21,T$4&lt;=$L21),1,"")</f>
        <v/>
      </c>
      <c r="U21" s="19" t="n">
        <f aca="false">IF(AND(U$4&gt;=$K21,U$4&lt;=$L21),1,"")</f>
        <v>1</v>
      </c>
      <c r="V21" s="19" t="n">
        <f aca="false">IF(AND(V$4&gt;=$K21,V$4&lt;=$L21),1,"")</f>
        <v>1</v>
      </c>
      <c r="W21" s="19" t="str">
        <f aca="false">IF(AND(W$4&gt;=$K21,W$4&lt;=$L21),1,"")</f>
        <v/>
      </c>
      <c r="X21" s="19" t="str">
        <f aca="false">IF(AND(X$4&gt;=$K21,X$4&lt;=$L21),1,"")</f>
        <v/>
      </c>
      <c r="Y21" s="19" t="str">
        <f aca="false">IF(AND(Y$4&gt;=$K21,Y$4&lt;=$L21),1,"")</f>
        <v/>
      </c>
      <c r="Z21" s="19" t="str">
        <f aca="false">IF(AND(Z$4&gt;=$K21,Z$4&lt;=$L21),1,"")</f>
        <v/>
      </c>
      <c r="AA21" s="19" t="str">
        <f aca="false">IF(AND(AA$4&gt;=$K21,AA$4&lt;=$L21),1,"")</f>
        <v/>
      </c>
      <c r="AB21" s="19" t="str">
        <f aca="false">IF(AND(AB$4&gt;=$K21,AB$4&lt;=$L21),1,"")</f>
        <v/>
      </c>
      <c r="AC21" s="19" t="str">
        <f aca="false">IF(AND(AC$4&gt;=$K21,AC$4&lt;=$L21),1,"")</f>
        <v/>
      </c>
      <c r="AD21" s="19" t="str">
        <f aca="false">IF(AND(AD$4&gt;=$K21,AD$4&lt;=$L21),1,"")</f>
        <v/>
      </c>
      <c r="AE21" s="19" t="str">
        <f aca="false">IF(AND(AE$4&gt;=$K21,AE$4&lt;=$L21),1,"")</f>
        <v/>
      </c>
    </row>
    <row r="22" customFormat="false" ht="81.75" hidden="false" customHeight="true" outlineLevel="0" collapsed="false">
      <c r="A22" s="7" t="s">
        <v>496</v>
      </c>
      <c r="B22" s="8" t="s">
        <v>448</v>
      </c>
      <c r="C22" s="8" t="s">
        <v>497</v>
      </c>
      <c r="D22" s="8" t="s">
        <v>498</v>
      </c>
      <c r="E22" s="8" t="s">
        <v>53</v>
      </c>
      <c r="F22" s="8" t="s">
        <v>499</v>
      </c>
      <c r="G22" s="8" t="s">
        <v>500</v>
      </c>
      <c r="H22" s="8" t="s">
        <v>59</v>
      </c>
      <c r="I22" s="10" t="s">
        <v>391</v>
      </c>
      <c r="J22" s="10" t="s">
        <v>501</v>
      </c>
      <c r="K22" s="10" t="n">
        <v>3</v>
      </c>
      <c r="L22" s="10" t="n">
        <v>4</v>
      </c>
      <c r="M22" s="18" t="n">
        <f aca="false">EDATE($D$3,K22-1)</f>
        <v>46389</v>
      </c>
      <c r="N22" s="18" t="n">
        <f aca="false">EDATE($D$3,L22)-1</f>
        <v>46447</v>
      </c>
      <c r="O22" s="8" t="s">
        <v>502</v>
      </c>
      <c r="P22" s="8" t="s">
        <v>503</v>
      </c>
      <c r="Q22" s="8" t="s">
        <v>504</v>
      </c>
      <c r="R22" s="10" t="s">
        <v>335</v>
      </c>
      <c r="S22" s="8" t="s">
        <v>505</v>
      </c>
      <c r="T22" s="19" t="str">
        <f aca="false">IF(AND(T$4&gt;=$K22,T$4&lt;=$L22),1,"")</f>
        <v/>
      </c>
      <c r="U22" s="19" t="str">
        <f aca="false">IF(AND(U$4&gt;=$K22,U$4&lt;=$L22),1,"")</f>
        <v/>
      </c>
      <c r="V22" s="19" t="n">
        <f aca="false">IF(AND(V$4&gt;=$K22,V$4&lt;=$L22),1,"")</f>
        <v>1</v>
      </c>
      <c r="W22" s="19" t="n">
        <f aca="false">IF(AND(W$4&gt;=$K22,W$4&lt;=$L22),1,"")</f>
        <v>1</v>
      </c>
      <c r="X22" s="19" t="str">
        <f aca="false">IF(AND(X$4&gt;=$K22,X$4&lt;=$L22),1,"")</f>
        <v/>
      </c>
      <c r="Y22" s="19" t="str">
        <f aca="false">IF(AND(Y$4&gt;=$K22,Y$4&lt;=$L22),1,"")</f>
        <v/>
      </c>
      <c r="Z22" s="19" t="str">
        <f aca="false">IF(AND(Z$4&gt;=$K22,Z$4&lt;=$L22),1,"")</f>
        <v/>
      </c>
      <c r="AA22" s="19" t="str">
        <f aca="false">IF(AND(AA$4&gt;=$K22,AA$4&lt;=$L22),1,"")</f>
        <v/>
      </c>
      <c r="AB22" s="19" t="str">
        <f aca="false">IF(AND(AB$4&gt;=$K22,AB$4&lt;=$L22),1,"")</f>
        <v/>
      </c>
      <c r="AC22" s="19" t="str">
        <f aca="false">IF(AND(AC$4&gt;=$K22,AC$4&lt;=$L22),1,"")</f>
        <v/>
      </c>
      <c r="AD22" s="19" t="str">
        <f aca="false">IF(AND(AD$4&gt;=$K22,AD$4&lt;=$L22),1,"")</f>
        <v/>
      </c>
      <c r="AE22" s="19" t="str">
        <f aca="false">IF(AND(AE$4&gt;=$K22,AE$4&lt;=$L22),1,"")</f>
        <v/>
      </c>
    </row>
    <row r="23" customFormat="false" ht="94.5" hidden="false" customHeight="true" outlineLevel="0" collapsed="false">
      <c r="A23" s="7" t="s">
        <v>136</v>
      </c>
      <c r="B23" s="8" t="s">
        <v>349</v>
      </c>
      <c r="C23" s="8" t="s">
        <v>506</v>
      </c>
      <c r="D23" s="8" t="s">
        <v>128</v>
      </c>
      <c r="E23" s="8" t="s">
        <v>133</v>
      </c>
      <c r="F23" s="8" t="s">
        <v>507</v>
      </c>
      <c r="G23" s="8" t="s">
        <v>135</v>
      </c>
      <c r="H23" s="8" t="s">
        <v>508</v>
      </c>
      <c r="I23" s="10" t="s">
        <v>391</v>
      </c>
      <c r="J23" s="10" t="s">
        <v>413</v>
      </c>
      <c r="K23" s="10" t="n">
        <v>2</v>
      </c>
      <c r="L23" s="10" t="n">
        <v>3</v>
      </c>
      <c r="M23" s="18" t="n">
        <f aca="false">EDATE($D$3,K23-1)</f>
        <v>46358</v>
      </c>
      <c r="N23" s="18" t="n">
        <f aca="false">EDATE($D$3,L23)-1</f>
        <v>46419</v>
      </c>
      <c r="O23" s="8" t="s">
        <v>509</v>
      </c>
      <c r="P23" s="8" t="s">
        <v>510</v>
      </c>
      <c r="Q23" s="8" t="s">
        <v>511</v>
      </c>
      <c r="R23" s="10" t="s">
        <v>335</v>
      </c>
      <c r="S23" s="8" t="s">
        <v>512</v>
      </c>
      <c r="T23" s="19" t="str">
        <f aca="false">IF(AND(T$4&gt;=$K23,T$4&lt;=$L23),1,"")</f>
        <v/>
      </c>
      <c r="U23" s="19" t="n">
        <f aca="false">IF(AND(U$4&gt;=$K23,U$4&lt;=$L23),1,"")</f>
        <v>1</v>
      </c>
      <c r="V23" s="19" t="n">
        <f aca="false">IF(AND(V$4&gt;=$K23,V$4&lt;=$L23),1,"")</f>
        <v>1</v>
      </c>
      <c r="W23" s="19" t="str">
        <f aca="false">IF(AND(W$4&gt;=$K23,W$4&lt;=$L23),1,"")</f>
        <v/>
      </c>
      <c r="X23" s="19" t="str">
        <f aca="false">IF(AND(X$4&gt;=$K23,X$4&lt;=$L23),1,"")</f>
        <v/>
      </c>
      <c r="Y23" s="19" t="str">
        <f aca="false">IF(AND(Y$4&gt;=$K23,Y$4&lt;=$L23),1,"")</f>
        <v/>
      </c>
      <c r="Z23" s="19" t="str">
        <f aca="false">IF(AND(Z$4&gt;=$K23,Z$4&lt;=$L23),1,"")</f>
        <v/>
      </c>
      <c r="AA23" s="19" t="str">
        <f aca="false">IF(AND(AA$4&gt;=$K23,AA$4&lt;=$L23),1,"")</f>
        <v/>
      </c>
      <c r="AB23" s="19" t="str">
        <f aca="false">IF(AND(AB$4&gt;=$K23,AB$4&lt;=$L23),1,"")</f>
        <v/>
      </c>
      <c r="AC23" s="19" t="str">
        <f aca="false">IF(AND(AC$4&gt;=$K23,AC$4&lt;=$L23),1,"")</f>
        <v/>
      </c>
      <c r="AD23" s="19" t="str">
        <f aca="false">IF(AND(AD$4&gt;=$K23,AD$4&lt;=$L23),1,"")</f>
        <v/>
      </c>
      <c r="AE23" s="19" t="str">
        <f aca="false">IF(AND(AE$4&gt;=$K23,AE$4&lt;=$L23),1,"")</f>
        <v/>
      </c>
    </row>
    <row r="24" customFormat="false" ht="108" hidden="false" customHeight="true" outlineLevel="0" collapsed="false">
      <c r="A24" s="7" t="s">
        <v>513</v>
      </c>
      <c r="B24" s="8" t="s">
        <v>448</v>
      </c>
      <c r="C24" s="8" t="s">
        <v>514</v>
      </c>
      <c r="D24" s="8" t="s">
        <v>515</v>
      </c>
      <c r="E24" s="8" t="s">
        <v>516</v>
      </c>
      <c r="F24" s="8" t="s">
        <v>517</v>
      </c>
      <c r="G24" s="8" t="s">
        <v>518</v>
      </c>
      <c r="H24" s="8" t="s">
        <v>519</v>
      </c>
      <c r="I24" s="10" t="s">
        <v>391</v>
      </c>
      <c r="J24" s="10" t="s">
        <v>403</v>
      </c>
      <c r="K24" s="10" t="n">
        <v>2</v>
      </c>
      <c r="L24" s="10" t="n">
        <v>4</v>
      </c>
      <c r="M24" s="18" t="n">
        <f aca="false">EDATE($D$3,K24-1)</f>
        <v>46358</v>
      </c>
      <c r="N24" s="18" t="n">
        <f aca="false">EDATE($D$3,L24)-1</f>
        <v>46447</v>
      </c>
      <c r="O24" s="8" t="s">
        <v>520</v>
      </c>
      <c r="P24" s="8" t="s">
        <v>521</v>
      </c>
      <c r="Q24" s="8" t="s">
        <v>522</v>
      </c>
      <c r="R24" s="10" t="s">
        <v>335</v>
      </c>
      <c r="S24" s="8" t="s">
        <v>523</v>
      </c>
      <c r="T24" s="19" t="str">
        <f aca="false">IF(AND(T$4&gt;=$K24,T$4&lt;=$L24),1,"")</f>
        <v/>
      </c>
      <c r="U24" s="19" t="n">
        <f aca="false">IF(AND(U$4&gt;=$K24,U$4&lt;=$L24),1,"")</f>
        <v>1</v>
      </c>
      <c r="V24" s="19" t="n">
        <f aca="false">IF(AND(V$4&gt;=$K24,V$4&lt;=$L24),1,"")</f>
        <v>1</v>
      </c>
      <c r="W24" s="19" t="n">
        <f aca="false">IF(AND(W$4&gt;=$K24,W$4&lt;=$L24),1,"")</f>
        <v>1</v>
      </c>
      <c r="X24" s="19" t="str">
        <f aca="false">IF(AND(X$4&gt;=$K24,X$4&lt;=$L24),1,"")</f>
        <v/>
      </c>
      <c r="Y24" s="19" t="str">
        <f aca="false">IF(AND(Y$4&gt;=$K24,Y$4&lt;=$L24),1,"")</f>
        <v/>
      </c>
      <c r="Z24" s="19" t="str">
        <f aca="false">IF(AND(Z$4&gt;=$K24,Z$4&lt;=$L24),1,"")</f>
        <v/>
      </c>
      <c r="AA24" s="19" t="str">
        <f aca="false">IF(AND(AA$4&gt;=$K24,AA$4&lt;=$L24),1,"")</f>
        <v/>
      </c>
      <c r="AB24" s="19" t="str">
        <f aca="false">IF(AND(AB$4&gt;=$K24,AB$4&lt;=$L24),1,"")</f>
        <v/>
      </c>
      <c r="AC24" s="19" t="str">
        <f aca="false">IF(AND(AC$4&gt;=$K24,AC$4&lt;=$L24),1,"")</f>
        <v/>
      </c>
      <c r="AD24" s="19" t="str">
        <f aca="false">IF(AND(AD$4&gt;=$K24,AD$4&lt;=$L24),1,"")</f>
        <v/>
      </c>
      <c r="AE24" s="19" t="str">
        <f aca="false">IF(AND(AE$4&gt;=$K24,AE$4&lt;=$L24),1,"")</f>
        <v/>
      </c>
    </row>
    <row r="25" customFormat="false" ht="15" hidden="false" customHeight="true" outlineLevel="0" collapsed="false">
      <c r="C25" s="14"/>
      <c r="D25" s="14"/>
      <c r="E25" s="14"/>
      <c r="F25" s="14"/>
    </row>
    <row r="26" customFormat="false" ht="15" hidden="false" customHeight="true" outlineLevel="0" collapsed="false">
      <c r="A26" s="13" t="s">
        <v>524</v>
      </c>
      <c r="C26" s="14"/>
      <c r="D26" s="14"/>
      <c r="E26" s="14"/>
      <c r="F26" s="14"/>
    </row>
    <row r="27" customFormat="false" ht="15" hidden="false" customHeight="true" outlineLevel="0" collapsed="false">
      <c r="C27" s="14" t="s">
        <v>458</v>
      </c>
      <c r="D27" s="14" t="n">
        <f aca="false">COUNTIF($B$6:$B$24,C27)</f>
        <v>1</v>
      </c>
      <c r="E27" s="14" t="s">
        <v>525</v>
      </c>
      <c r="F27" s="14" t="s">
        <v>526</v>
      </c>
    </row>
    <row r="28" customFormat="false" ht="15" hidden="false" customHeight="true" outlineLevel="0" collapsed="false">
      <c r="C28" s="14" t="s">
        <v>323</v>
      </c>
      <c r="D28" s="14" t="n">
        <f aca="false">COUNTIF($B$6:$B$24,C28)</f>
        <v>4</v>
      </c>
      <c r="E28" s="14" t="s">
        <v>525</v>
      </c>
      <c r="F28" s="14" t="s">
        <v>527</v>
      </c>
    </row>
    <row r="29" customFormat="false" ht="15" hidden="false" customHeight="true" outlineLevel="0" collapsed="false">
      <c r="C29" s="14" t="s">
        <v>349</v>
      </c>
      <c r="D29" s="14" t="n">
        <f aca="false">COUNTIF($B$6:$B$24,C29)</f>
        <v>6</v>
      </c>
      <c r="E29" s="14" t="s">
        <v>525</v>
      </c>
      <c r="F29" s="14" t="s">
        <v>528</v>
      </c>
    </row>
    <row r="30" customFormat="false" ht="15" hidden="false" customHeight="true" outlineLevel="0" collapsed="false">
      <c r="C30" s="14" t="s">
        <v>372</v>
      </c>
      <c r="D30" s="14" t="n">
        <f aca="false">COUNTIF($B$6:$B$24,C30)</f>
        <v>2</v>
      </c>
      <c r="E30" s="14" t="s">
        <v>525</v>
      </c>
      <c r="F30" s="14" t="s">
        <v>529</v>
      </c>
    </row>
    <row r="31" customFormat="false" ht="15" hidden="false" customHeight="true" outlineLevel="0" collapsed="false">
      <c r="C31" s="14" t="s">
        <v>398</v>
      </c>
      <c r="D31" s="14" t="n">
        <f aca="false">COUNTIF($B$6:$B$24,C31)</f>
        <v>2</v>
      </c>
      <c r="E31" s="14" t="s">
        <v>525</v>
      </c>
      <c r="F31" s="14" t="s">
        <v>530</v>
      </c>
    </row>
    <row r="32" customFormat="false" ht="15" hidden="false" customHeight="true" outlineLevel="0" collapsed="false">
      <c r="C32" s="14" t="s">
        <v>448</v>
      </c>
      <c r="D32" s="14" t="n">
        <f aca="false">COUNTIF($B$6:$B$24,C32)</f>
        <v>4</v>
      </c>
      <c r="E32" s="14" t="s">
        <v>525</v>
      </c>
      <c r="F32" s="14" t="s">
        <v>531</v>
      </c>
    </row>
    <row r="33" customFormat="false" ht="15" hidden="false" customHeight="true" outlineLevel="0" collapsed="false">
      <c r="C33" s="14"/>
      <c r="D33" s="14"/>
    </row>
    <row r="34" customFormat="false" ht="15" hidden="false" customHeight="true" outlineLevel="0" collapsed="false">
      <c r="A34" s="13" t="s">
        <v>532</v>
      </c>
      <c r="C34" s="14"/>
      <c r="D34" s="14"/>
    </row>
    <row r="35" customFormat="false" ht="15" hidden="false" customHeight="true" outlineLevel="0" collapsed="false">
      <c r="C35" s="14" t="s">
        <v>533</v>
      </c>
      <c r="D35" s="14" t="n">
        <f aca="false">COUNTIF($I$6:$I$24,"P1")</f>
        <v>8</v>
      </c>
    </row>
    <row r="36" customFormat="false" ht="15" hidden="false" customHeight="true" outlineLevel="0" collapsed="false">
      <c r="C36" s="14" t="s">
        <v>534</v>
      </c>
      <c r="D36" s="14" t="n">
        <f aca="false">COUNTIF($I$6:$I$24,"P2")</f>
        <v>11</v>
      </c>
    </row>
    <row r="37" customFormat="false" ht="15" hidden="false" customHeight="true" outlineLevel="0" collapsed="false">
      <c r="C37" s="14" t="s">
        <v>535</v>
      </c>
      <c r="D37" s="14" t="n">
        <f aca="false">COUNTIF($I$6:$I$24,"P3")</f>
        <v>0</v>
      </c>
    </row>
    <row r="38" customFormat="false" ht="15" hidden="false" customHeight="true" outlineLevel="0" collapsed="false">
      <c r="C38" s="14" t="s">
        <v>536</v>
      </c>
      <c r="D38" s="14" t="n">
        <f aca="false">COUNTIF($J$6:$J$24,"Faible*")</f>
        <v>11</v>
      </c>
    </row>
    <row r="39" customFormat="false" ht="15" hidden="false" customHeight="true" outlineLevel="0" collapsed="false">
      <c r="C39" s="14" t="s">
        <v>537</v>
      </c>
      <c r="D39" s="14" t="n">
        <f aca="false">COUNTIF($J$6:$J$24,"Moyen*")</f>
        <v>8</v>
      </c>
    </row>
    <row r="40" customFormat="false" ht="15" hidden="false" customHeight="true" outlineLevel="0" collapsed="false">
      <c r="C40" s="14" t="s">
        <v>538</v>
      </c>
      <c r="D40" s="14" t="n">
        <f aca="false">COUNTIF($J$6:$J$24,"Élevé*")</f>
        <v>0</v>
      </c>
    </row>
    <row r="41" customFormat="false" ht="15" hidden="false" customHeight="true" outlineLevel="0" collapsed="false">
      <c r="C41" s="14" t="s">
        <v>539</v>
      </c>
      <c r="D41" s="14" t="n">
        <v>74</v>
      </c>
    </row>
    <row r="42" customFormat="false" ht="15" hidden="false" customHeight="true" outlineLevel="0" collapsed="false">
      <c r="C42" s="14" t="s">
        <v>540</v>
      </c>
      <c r="D42" s="14" t="n">
        <v>39</v>
      </c>
    </row>
    <row r="44" customFormat="false" ht="15" hidden="false" customHeight="true" outlineLevel="0" collapsed="false">
      <c r="A44" s="12" t="s">
        <v>541</v>
      </c>
    </row>
    <row r="46" customFormat="false" ht="15" hidden="false" customHeight="true" outlineLevel="0" collapsed="false">
      <c r="A46" s="12" t="s">
        <v>542</v>
      </c>
    </row>
  </sheetData>
  <autoFilter ref="A5:S17"/>
  <mergeCells count="1">
    <mergeCell ref="A3:C3"/>
  </mergeCells>
  <conditionalFormatting sqref="T6:AE24">
    <cfRule type="cellIs" priority="2" operator="equal" aboveAverage="0" equalAverage="0" bottom="0" percent="0" rank="0" text="" dxfId="9">
      <formula>1</formula>
    </cfRule>
  </conditionalFormatting>
  <conditionalFormatting sqref="I6:I24">
    <cfRule type="cellIs" priority="3" operator="equal" aboveAverage="0" equalAverage="0" bottom="0" percent="0" rank="0" text="" dxfId="10">
      <formula>"P1"</formula>
    </cfRule>
    <cfRule type="cellIs" priority="4" operator="equal" aboveAverage="0" equalAverage="0" bottom="0" percent="0" rank="0" text="" dxfId="11">
      <formula>"P2"</formula>
    </cfRule>
    <cfRule type="cellIs" priority="5" operator="equal" aboveAverage="0" equalAverage="0" bottom="0" percent="0" rank="0" text="" dxfId="12">
      <formula>"P3"</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2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42"/>
    <col collapsed="false" customWidth="true" hidden="false" outlineLevel="0" max="4" min="4" style="1" width="22"/>
    <col collapsed="false" customWidth="true" hidden="false" outlineLevel="0" max="5" min="5" style="1" width="36"/>
    <col collapsed="false" customWidth="true" hidden="false" outlineLevel="0" max="6" min="6" style="1" width="30"/>
    <col collapsed="false" customWidth="true" hidden="false" outlineLevel="0" max="7" min="7" style="1" width="32"/>
    <col collapsed="false" customWidth="true" hidden="false" outlineLevel="0" max="8" min="8" style="1" width="8"/>
    <col collapsed="false" customWidth="true" hidden="false" outlineLevel="0" max="11" min="9" style="1" width="9"/>
    <col collapsed="false" customWidth="true" hidden="false" outlineLevel="0" max="13" min="12" style="1" width="8"/>
    <col collapsed="false" customWidth="true" hidden="false" outlineLevel="0" max="14" min="14" style="1" width="9"/>
    <col collapsed="false" customWidth="true" hidden="false" outlineLevel="0" max="16" min="15" style="1" width="8"/>
    <col collapsed="false" customWidth="true" hidden="false" outlineLevel="0" max="18" min="17" style="1" width="9"/>
    <col collapsed="false" customWidth="true" hidden="false" outlineLevel="0" max="19" min="19" style="1" width="34"/>
    <col collapsed="false" customWidth="true" hidden="false" outlineLevel="0" max="20" min="20" style="1" width="14"/>
    <col collapsed="false" customWidth="true" hidden="false" outlineLevel="0" max="21" min="21" style="1" width="9"/>
    <col collapsed="false" customWidth="true" hidden="false" outlineLevel="0" max="22" min="22" style="1" width="8"/>
    <col collapsed="false" customWidth="true" hidden="false" outlineLevel="0" max="23" min="23" style="1" width="34"/>
  </cols>
  <sheetData>
    <row r="1" customFormat="false" ht="17.25" hidden="false" customHeight="true" outlineLevel="0" collapsed="false">
      <c r="A1" s="2" t="s">
        <v>543</v>
      </c>
    </row>
    <row r="2" customFormat="false" ht="15" hidden="false" customHeight="true" outlineLevel="0" collapsed="false">
      <c r="A2" s="3" t="s">
        <v>544</v>
      </c>
    </row>
    <row r="4" customFormat="false" ht="42" hidden="false" customHeight="true" outlineLevel="0" collapsed="false">
      <c r="A4" s="6" t="s">
        <v>545</v>
      </c>
      <c r="B4" s="6" t="s">
        <v>546</v>
      </c>
      <c r="C4" s="6" t="s">
        <v>547</v>
      </c>
      <c r="D4" s="6" t="s">
        <v>548</v>
      </c>
      <c r="E4" s="6" t="s">
        <v>549</v>
      </c>
      <c r="F4" s="6" t="s">
        <v>550</v>
      </c>
      <c r="G4" s="6" t="s">
        <v>551</v>
      </c>
      <c r="H4" s="6" t="s">
        <v>552</v>
      </c>
      <c r="I4" s="6" t="s">
        <v>553</v>
      </c>
      <c r="J4" s="6" t="s">
        <v>554</v>
      </c>
      <c r="K4" s="6" t="s">
        <v>555</v>
      </c>
      <c r="L4" s="6" t="s">
        <v>556</v>
      </c>
      <c r="M4" s="6" t="s">
        <v>557</v>
      </c>
      <c r="N4" s="6" t="s">
        <v>558</v>
      </c>
      <c r="O4" s="6" t="s">
        <v>559</v>
      </c>
      <c r="P4" s="6" t="s">
        <v>560</v>
      </c>
      <c r="Q4" s="6" t="s">
        <v>561</v>
      </c>
      <c r="R4" s="6" t="s">
        <v>562</v>
      </c>
      <c r="S4" s="6" t="s">
        <v>563</v>
      </c>
      <c r="T4" s="6" t="s">
        <v>564</v>
      </c>
      <c r="U4" s="6" t="s">
        <v>565</v>
      </c>
      <c r="V4" s="6" t="s">
        <v>143</v>
      </c>
      <c r="W4" s="6" t="s">
        <v>566</v>
      </c>
    </row>
    <row r="5" customFormat="false" ht="55.5" hidden="false" customHeight="true" outlineLevel="0" collapsed="false">
      <c r="A5" s="9" t="s">
        <v>181</v>
      </c>
      <c r="B5" s="8" t="s">
        <v>47</v>
      </c>
      <c r="C5" s="8" t="s">
        <v>182</v>
      </c>
      <c r="D5" s="8" t="s">
        <v>567</v>
      </c>
      <c r="E5" s="8" t="s">
        <v>568</v>
      </c>
      <c r="F5" s="8" t="s">
        <v>569</v>
      </c>
      <c r="G5" s="8" t="s">
        <v>570</v>
      </c>
      <c r="H5" s="10" t="s">
        <v>571</v>
      </c>
      <c r="I5" s="10" t="n">
        <v>3</v>
      </c>
      <c r="J5" s="10" t="n">
        <v>4</v>
      </c>
      <c r="K5" s="11" t="n">
        <v>4</v>
      </c>
      <c r="L5" s="10" t="n">
        <v>3</v>
      </c>
      <c r="M5" s="10" t="n">
        <v>4</v>
      </c>
      <c r="N5" s="10" t="n">
        <v>4</v>
      </c>
      <c r="O5" s="10" t="n">
        <v>3</v>
      </c>
      <c r="P5" s="10" t="n">
        <v>2</v>
      </c>
      <c r="Q5" s="10" t="n">
        <v>3</v>
      </c>
      <c r="R5" s="10" t="n">
        <v>2</v>
      </c>
      <c r="S5" s="8" t="s">
        <v>572</v>
      </c>
      <c r="T5" s="8" t="s">
        <v>573</v>
      </c>
      <c r="U5" s="10" t="s">
        <v>58</v>
      </c>
      <c r="V5" s="10" t="n">
        <v>79</v>
      </c>
      <c r="W5" s="8" t="s">
        <v>574</v>
      </c>
    </row>
    <row r="6" customFormat="false" ht="42.75" hidden="false" customHeight="true" outlineLevel="0" collapsed="false">
      <c r="A6" s="9" t="s">
        <v>575</v>
      </c>
      <c r="B6" s="8" t="s">
        <v>47</v>
      </c>
      <c r="C6" s="8" t="s">
        <v>576</v>
      </c>
      <c r="D6" s="8" t="s">
        <v>567</v>
      </c>
      <c r="E6" s="8" t="s">
        <v>577</v>
      </c>
      <c r="F6" s="8" t="s">
        <v>578</v>
      </c>
      <c r="G6" s="8" t="s">
        <v>579</v>
      </c>
      <c r="H6" s="10" t="s">
        <v>580</v>
      </c>
      <c r="I6" s="10" t="n">
        <v>2</v>
      </c>
      <c r="J6" s="10" t="n">
        <v>4</v>
      </c>
      <c r="K6" s="11" t="n">
        <v>3</v>
      </c>
      <c r="L6" s="10" t="n">
        <v>2</v>
      </c>
      <c r="M6" s="10" t="n">
        <v>4</v>
      </c>
      <c r="N6" s="10" t="n">
        <v>3</v>
      </c>
      <c r="O6" s="10" t="n">
        <v>2</v>
      </c>
      <c r="P6" s="10" t="n">
        <v>2</v>
      </c>
      <c r="Q6" s="10" t="n">
        <v>2</v>
      </c>
      <c r="R6" s="10" t="n">
        <v>1</v>
      </c>
      <c r="S6" s="8" t="s">
        <v>581</v>
      </c>
      <c r="T6" s="8" t="s">
        <v>463</v>
      </c>
      <c r="U6" s="10" t="s">
        <v>58</v>
      </c>
      <c r="V6" s="10" t="n">
        <v>50</v>
      </c>
      <c r="W6" s="8" t="s">
        <v>582</v>
      </c>
    </row>
    <row r="7" customFormat="false" ht="42.75" hidden="false" customHeight="true" outlineLevel="0" collapsed="false">
      <c r="A7" s="9" t="s">
        <v>583</v>
      </c>
      <c r="B7" s="8" t="s">
        <v>47</v>
      </c>
      <c r="C7" s="8" t="s">
        <v>584</v>
      </c>
      <c r="D7" s="8" t="s">
        <v>585</v>
      </c>
      <c r="E7" s="8" t="s">
        <v>586</v>
      </c>
      <c r="F7" s="8" t="s">
        <v>587</v>
      </c>
      <c r="G7" s="8" t="s">
        <v>588</v>
      </c>
      <c r="H7" s="10" t="s">
        <v>580</v>
      </c>
      <c r="I7" s="10" t="n">
        <v>2</v>
      </c>
      <c r="J7" s="10" t="n">
        <v>4</v>
      </c>
      <c r="K7" s="11" t="n">
        <v>3</v>
      </c>
      <c r="L7" s="10" t="n">
        <v>2</v>
      </c>
      <c r="M7" s="10" t="n">
        <v>4</v>
      </c>
      <c r="N7" s="10" t="n">
        <v>3</v>
      </c>
      <c r="O7" s="10" t="n">
        <v>2</v>
      </c>
      <c r="P7" s="10" t="n">
        <v>2</v>
      </c>
      <c r="Q7" s="10" t="n">
        <v>2</v>
      </c>
      <c r="R7" s="10" t="n">
        <v>1</v>
      </c>
      <c r="S7" s="8" t="s">
        <v>589</v>
      </c>
      <c r="T7" s="8" t="s">
        <v>463</v>
      </c>
      <c r="U7" s="10" t="s">
        <v>58</v>
      </c>
      <c r="V7" s="10" t="n">
        <v>174</v>
      </c>
      <c r="W7" s="8" t="s">
        <v>590</v>
      </c>
    </row>
    <row r="8" customFormat="false" ht="55.5" hidden="false" customHeight="true" outlineLevel="0" collapsed="false">
      <c r="A8" s="9" t="s">
        <v>179</v>
      </c>
      <c r="B8" s="8" t="s">
        <v>60</v>
      </c>
      <c r="C8" s="8" t="s">
        <v>180</v>
      </c>
      <c r="D8" s="8" t="s">
        <v>567</v>
      </c>
      <c r="E8" s="8" t="s">
        <v>591</v>
      </c>
      <c r="F8" s="8" t="s">
        <v>592</v>
      </c>
      <c r="G8" s="8" t="s">
        <v>593</v>
      </c>
      <c r="H8" s="10" t="s">
        <v>571</v>
      </c>
      <c r="I8" s="10" t="n">
        <v>3</v>
      </c>
      <c r="J8" s="10" t="n">
        <v>3</v>
      </c>
      <c r="K8" s="11" t="n">
        <v>3</v>
      </c>
      <c r="L8" s="10" t="n">
        <v>3</v>
      </c>
      <c r="M8" s="10" t="n">
        <v>3</v>
      </c>
      <c r="N8" s="10" t="n">
        <v>3</v>
      </c>
      <c r="O8" s="10" t="n">
        <v>3</v>
      </c>
      <c r="P8" s="10" t="n">
        <v>2</v>
      </c>
      <c r="Q8" s="10" t="n">
        <v>3</v>
      </c>
      <c r="R8" s="10" t="n">
        <v>2</v>
      </c>
      <c r="S8" s="8" t="s">
        <v>594</v>
      </c>
      <c r="T8" s="8" t="s">
        <v>364</v>
      </c>
      <c r="U8" s="10" t="s">
        <v>58</v>
      </c>
      <c r="V8" s="10" t="n">
        <v>78</v>
      </c>
      <c r="W8" s="8" t="s">
        <v>595</v>
      </c>
    </row>
    <row r="9" customFormat="false" ht="55.5" hidden="false" customHeight="true" outlineLevel="0" collapsed="false">
      <c r="A9" s="9" t="s">
        <v>171</v>
      </c>
      <c r="B9" s="8" t="s">
        <v>60</v>
      </c>
      <c r="C9" s="8" t="s">
        <v>172</v>
      </c>
      <c r="D9" s="8" t="s">
        <v>596</v>
      </c>
      <c r="E9" s="8" t="s">
        <v>597</v>
      </c>
      <c r="F9" s="8" t="s">
        <v>598</v>
      </c>
      <c r="G9" s="8" t="s">
        <v>599</v>
      </c>
      <c r="H9" s="10" t="s">
        <v>571</v>
      </c>
      <c r="I9" s="10" t="n">
        <v>3</v>
      </c>
      <c r="J9" s="10" t="n">
        <v>3</v>
      </c>
      <c r="K9" s="11" t="n">
        <v>3</v>
      </c>
      <c r="L9" s="10" t="n">
        <v>3</v>
      </c>
      <c r="M9" s="10" t="n">
        <v>3</v>
      </c>
      <c r="N9" s="10" t="n">
        <v>3</v>
      </c>
      <c r="O9" s="10" t="n">
        <v>3</v>
      </c>
      <c r="P9" s="10" t="n">
        <v>2</v>
      </c>
      <c r="Q9" s="10" t="n">
        <v>3</v>
      </c>
      <c r="R9" s="10" t="n">
        <v>2</v>
      </c>
      <c r="S9" s="8" t="s">
        <v>600</v>
      </c>
      <c r="T9" s="8" t="s">
        <v>328</v>
      </c>
      <c r="U9" s="10" t="s">
        <v>58</v>
      </c>
      <c r="V9" s="10" t="n">
        <v>38</v>
      </c>
      <c r="W9" s="8" t="s">
        <v>601</v>
      </c>
    </row>
    <row r="10" customFormat="false" ht="42.75" hidden="false" customHeight="true" outlineLevel="0" collapsed="false">
      <c r="A10" s="9" t="s">
        <v>159</v>
      </c>
      <c r="B10" s="8" t="s">
        <v>60</v>
      </c>
      <c r="C10" s="8" t="s">
        <v>160</v>
      </c>
      <c r="D10" s="8" t="s">
        <v>596</v>
      </c>
      <c r="E10" s="8" t="s">
        <v>602</v>
      </c>
      <c r="F10" s="8" t="s">
        <v>603</v>
      </c>
      <c r="G10" s="8" t="s">
        <v>604</v>
      </c>
      <c r="H10" s="10" t="s">
        <v>605</v>
      </c>
      <c r="I10" s="10" t="n">
        <v>3</v>
      </c>
      <c r="J10" s="10" t="n">
        <v>3</v>
      </c>
      <c r="K10" s="11" t="n">
        <v>3</v>
      </c>
      <c r="L10" s="10" t="n">
        <v>3</v>
      </c>
      <c r="M10" s="10" t="n">
        <v>3</v>
      </c>
      <c r="N10" s="10" t="n">
        <v>3</v>
      </c>
      <c r="O10" s="10" t="n">
        <v>3</v>
      </c>
      <c r="P10" s="10" t="n">
        <v>2</v>
      </c>
      <c r="Q10" s="10" t="n">
        <v>3</v>
      </c>
      <c r="R10" s="10" t="n">
        <v>2</v>
      </c>
      <c r="S10" s="8" t="s">
        <v>606</v>
      </c>
      <c r="T10" s="8" t="s">
        <v>328</v>
      </c>
      <c r="U10" s="10" t="s">
        <v>58</v>
      </c>
      <c r="V10" s="10" t="n">
        <v>26</v>
      </c>
      <c r="W10" s="8" t="s">
        <v>607</v>
      </c>
    </row>
    <row r="11" customFormat="false" ht="55.5" hidden="false" customHeight="true" outlineLevel="0" collapsed="false">
      <c r="A11" s="9" t="s">
        <v>608</v>
      </c>
      <c r="B11" s="8" t="s">
        <v>71</v>
      </c>
      <c r="C11" s="8" t="s">
        <v>609</v>
      </c>
      <c r="D11" s="8" t="s">
        <v>596</v>
      </c>
      <c r="E11" s="8" t="s">
        <v>610</v>
      </c>
      <c r="F11" s="8" t="s">
        <v>611</v>
      </c>
      <c r="G11" s="8" t="s">
        <v>612</v>
      </c>
      <c r="H11" s="10" t="s">
        <v>580</v>
      </c>
      <c r="I11" s="10" t="n">
        <v>3</v>
      </c>
      <c r="J11" s="10" t="n">
        <v>3</v>
      </c>
      <c r="K11" s="11" t="n">
        <v>3</v>
      </c>
      <c r="L11" s="10" t="n">
        <v>3</v>
      </c>
      <c r="M11" s="10" t="n">
        <v>3</v>
      </c>
      <c r="N11" s="10" t="n">
        <v>3</v>
      </c>
      <c r="O11" s="10" t="n">
        <v>2</v>
      </c>
      <c r="P11" s="10" t="n">
        <v>3</v>
      </c>
      <c r="Q11" s="10" t="n">
        <v>2</v>
      </c>
      <c r="R11" s="10" t="n">
        <v>2</v>
      </c>
      <c r="S11" s="8" t="s">
        <v>613</v>
      </c>
      <c r="T11" s="8" t="s">
        <v>377</v>
      </c>
      <c r="U11" s="10" t="s">
        <v>58</v>
      </c>
      <c r="V11" s="10" t="n">
        <v>8</v>
      </c>
      <c r="W11" s="8" t="s">
        <v>614</v>
      </c>
    </row>
    <row r="12" customFormat="false" ht="55.5" hidden="false" customHeight="true" outlineLevel="0" collapsed="false">
      <c r="A12" s="9" t="s">
        <v>387</v>
      </c>
      <c r="B12" s="8" t="s">
        <v>71</v>
      </c>
      <c r="C12" s="8" t="s">
        <v>615</v>
      </c>
      <c r="D12" s="8" t="s">
        <v>616</v>
      </c>
      <c r="E12" s="8" t="s">
        <v>617</v>
      </c>
      <c r="F12" s="8" t="s">
        <v>618</v>
      </c>
      <c r="G12" s="8" t="s">
        <v>619</v>
      </c>
      <c r="H12" s="10" t="s">
        <v>580</v>
      </c>
      <c r="I12" s="10" t="n">
        <v>3</v>
      </c>
      <c r="J12" s="10" t="n">
        <v>3</v>
      </c>
      <c r="K12" s="11" t="n">
        <v>3</v>
      </c>
      <c r="L12" s="10" t="n">
        <v>3</v>
      </c>
      <c r="M12" s="10" t="n">
        <v>3</v>
      </c>
      <c r="N12" s="10" t="n">
        <v>3</v>
      </c>
      <c r="O12" s="10" t="n">
        <v>2</v>
      </c>
      <c r="P12" s="10" t="n">
        <v>3</v>
      </c>
      <c r="Q12" s="10" t="n">
        <v>2</v>
      </c>
      <c r="R12" s="10" t="n">
        <v>2</v>
      </c>
      <c r="S12" s="8" t="s">
        <v>620</v>
      </c>
      <c r="T12" s="8" t="s">
        <v>389</v>
      </c>
      <c r="U12" s="10" t="s">
        <v>58</v>
      </c>
      <c r="V12" s="10" t="n">
        <v>135</v>
      </c>
      <c r="W12" s="8" t="s">
        <v>621</v>
      </c>
    </row>
    <row r="13" customFormat="false" ht="69" hidden="false" customHeight="true" outlineLevel="0" collapsed="false">
      <c r="A13" s="9" t="s">
        <v>622</v>
      </c>
      <c r="B13" s="8" t="s">
        <v>83</v>
      </c>
      <c r="C13" s="8" t="s">
        <v>623</v>
      </c>
      <c r="D13" s="8" t="s">
        <v>624</v>
      </c>
      <c r="E13" s="8" t="s">
        <v>625</v>
      </c>
      <c r="F13" s="8" t="s">
        <v>626</v>
      </c>
      <c r="G13" s="8" t="s">
        <v>627</v>
      </c>
      <c r="H13" s="10" t="s">
        <v>580</v>
      </c>
      <c r="I13" s="10" t="n">
        <v>3</v>
      </c>
      <c r="J13" s="10" t="n">
        <v>3</v>
      </c>
      <c r="K13" s="11" t="n">
        <v>3</v>
      </c>
      <c r="L13" s="10" t="n">
        <v>3</v>
      </c>
      <c r="M13" s="10" t="n">
        <v>3</v>
      </c>
      <c r="N13" s="10" t="n">
        <v>3</v>
      </c>
      <c r="O13" s="10" t="n">
        <v>2</v>
      </c>
      <c r="P13" s="10" t="n">
        <v>3</v>
      </c>
      <c r="Q13" s="10" t="n">
        <v>2</v>
      </c>
      <c r="R13" s="10" t="n">
        <v>2</v>
      </c>
      <c r="S13" s="8" t="s">
        <v>628</v>
      </c>
      <c r="T13" s="8" t="s">
        <v>629</v>
      </c>
      <c r="U13" s="10" t="s">
        <v>58</v>
      </c>
      <c r="V13" s="10" t="n">
        <v>199</v>
      </c>
      <c r="W13" s="8" t="s">
        <v>630</v>
      </c>
    </row>
    <row r="14" customFormat="false" ht="42.75" hidden="false" customHeight="true" outlineLevel="0" collapsed="false">
      <c r="A14" s="9" t="s">
        <v>631</v>
      </c>
      <c r="B14" s="8" t="s">
        <v>83</v>
      </c>
      <c r="C14" s="8" t="s">
        <v>632</v>
      </c>
      <c r="D14" s="8" t="s">
        <v>633</v>
      </c>
      <c r="E14" s="8" t="s">
        <v>634</v>
      </c>
      <c r="F14" s="8" t="s">
        <v>635</v>
      </c>
      <c r="G14" s="8" t="s">
        <v>636</v>
      </c>
      <c r="H14" s="10" t="s">
        <v>580</v>
      </c>
      <c r="I14" s="10" t="n">
        <v>3</v>
      </c>
      <c r="J14" s="10" t="n">
        <v>3</v>
      </c>
      <c r="K14" s="11" t="n">
        <v>3</v>
      </c>
      <c r="L14" s="10" t="n">
        <v>3</v>
      </c>
      <c r="M14" s="10" t="n">
        <v>3</v>
      </c>
      <c r="N14" s="10" t="n">
        <v>3</v>
      </c>
      <c r="O14" s="10" t="n">
        <v>2</v>
      </c>
      <c r="P14" s="10" t="n">
        <v>3</v>
      </c>
      <c r="Q14" s="10" t="n">
        <v>2</v>
      </c>
      <c r="R14" s="10" t="n">
        <v>1</v>
      </c>
      <c r="S14" s="8" t="s">
        <v>637</v>
      </c>
      <c r="T14" s="8" t="s">
        <v>135</v>
      </c>
      <c r="U14" s="10" t="s">
        <v>58</v>
      </c>
      <c r="V14" s="10" t="n">
        <v>104</v>
      </c>
      <c r="W14" s="8" t="s">
        <v>638</v>
      </c>
    </row>
    <row r="15" customFormat="false" ht="55.5" hidden="false" customHeight="true" outlineLevel="0" collapsed="false">
      <c r="A15" s="9" t="s">
        <v>176</v>
      </c>
      <c r="B15" s="8" t="s">
        <v>96</v>
      </c>
      <c r="C15" s="8" t="s">
        <v>177</v>
      </c>
      <c r="D15" s="8" t="s">
        <v>567</v>
      </c>
      <c r="E15" s="8" t="s">
        <v>639</v>
      </c>
      <c r="F15" s="8" t="s">
        <v>640</v>
      </c>
      <c r="G15" s="8" t="s">
        <v>641</v>
      </c>
      <c r="H15" s="10" t="s">
        <v>571</v>
      </c>
      <c r="I15" s="10" t="n">
        <v>3</v>
      </c>
      <c r="J15" s="10" t="n">
        <v>3</v>
      </c>
      <c r="K15" s="11" t="n">
        <v>3</v>
      </c>
      <c r="L15" s="10" t="n">
        <v>3</v>
      </c>
      <c r="M15" s="10" t="n">
        <v>3</v>
      </c>
      <c r="N15" s="10" t="n">
        <v>3</v>
      </c>
      <c r="O15" s="10" t="n">
        <v>3</v>
      </c>
      <c r="P15" s="10" t="n">
        <v>2</v>
      </c>
      <c r="Q15" s="10" t="n">
        <v>3</v>
      </c>
      <c r="R15" s="10" t="n">
        <v>2</v>
      </c>
      <c r="S15" s="8" t="s">
        <v>642</v>
      </c>
      <c r="T15" s="8" t="s">
        <v>423</v>
      </c>
      <c r="U15" s="10" t="s">
        <v>58</v>
      </c>
      <c r="V15" s="10" t="n">
        <v>77</v>
      </c>
      <c r="W15" s="8" t="s">
        <v>643</v>
      </c>
    </row>
    <row r="16" customFormat="false" ht="69" hidden="false" customHeight="true" outlineLevel="0" collapsed="false">
      <c r="A16" s="9" t="s">
        <v>191</v>
      </c>
      <c r="B16" s="8" t="s">
        <v>96</v>
      </c>
      <c r="C16" s="8" t="s">
        <v>192</v>
      </c>
      <c r="D16" s="8" t="s">
        <v>616</v>
      </c>
      <c r="E16" s="8" t="s">
        <v>644</v>
      </c>
      <c r="F16" s="8" t="s">
        <v>645</v>
      </c>
      <c r="G16" s="8" t="s">
        <v>646</v>
      </c>
      <c r="H16" s="10" t="s">
        <v>571</v>
      </c>
      <c r="I16" s="10" t="n">
        <v>3</v>
      </c>
      <c r="J16" s="10" t="n">
        <v>3</v>
      </c>
      <c r="K16" s="11" t="n">
        <v>3</v>
      </c>
      <c r="L16" s="10" t="n">
        <v>3</v>
      </c>
      <c r="M16" s="10" t="n">
        <v>3</v>
      </c>
      <c r="N16" s="10" t="n">
        <v>3</v>
      </c>
      <c r="O16" s="10" t="n">
        <v>3</v>
      </c>
      <c r="P16" s="10" t="n">
        <v>2</v>
      </c>
      <c r="Q16" s="10" t="n">
        <v>3</v>
      </c>
      <c r="R16" s="10" t="n">
        <v>2</v>
      </c>
      <c r="S16" s="8" t="s">
        <v>647</v>
      </c>
      <c r="T16" s="8" t="s">
        <v>648</v>
      </c>
      <c r="U16" s="10" t="s">
        <v>58</v>
      </c>
      <c r="V16" s="10" t="n">
        <v>144</v>
      </c>
      <c r="W16" s="8" t="s">
        <v>649</v>
      </c>
    </row>
    <row r="17" customFormat="false" ht="42.75" hidden="false" customHeight="true" outlineLevel="0" collapsed="false">
      <c r="A17" s="9" t="s">
        <v>167</v>
      </c>
      <c r="B17" s="8" t="s">
        <v>107</v>
      </c>
      <c r="C17" s="8" t="s">
        <v>168</v>
      </c>
      <c r="D17" s="8" t="s">
        <v>596</v>
      </c>
      <c r="E17" s="8" t="s">
        <v>650</v>
      </c>
      <c r="F17" s="8" t="s">
        <v>651</v>
      </c>
      <c r="G17" s="8" t="s">
        <v>652</v>
      </c>
      <c r="H17" s="10" t="s">
        <v>571</v>
      </c>
      <c r="I17" s="10" t="n">
        <v>3</v>
      </c>
      <c r="J17" s="10" t="n">
        <v>3</v>
      </c>
      <c r="K17" s="11" t="n">
        <v>3</v>
      </c>
      <c r="L17" s="10" t="n">
        <v>3</v>
      </c>
      <c r="M17" s="10" t="n">
        <v>3</v>
      </c>
      <c r="N17" s="10" t="n">
        <v>3</v>
      </c>
      <c r="O17" s="10" t="n">
        <v>3</v>
      </c>
      <c r="P17" s="10" t="n">
        <v>2</v>
      </c>
      <c r="Q17" s="10" t="n">
        <v>3</v>
      </c>
      <c r="R17" s="10" t="n">
        <v>3</v>
      </c>
      <c r="S17" s="8" t="s">
        <v>653</v>
      </c>
      <c r="T17" s="8" t="s">
        <v>115</v>
      </c>
      <c r="U17" s="10" t="s">
        <v>654</v>
      </c>
      <c r="V17" s="10" t="n">
        <v>37</v>
      </c>
      <c r="W17" s="8" t="s">
        <v>655</v>
      </c>
    </row>
    <row r="18" customFormat="false" ht="55.5" hidden="false" customHeight="true" outlineLevel="0" collapsed="false">
      <c r="A18" s="9" t="s">
        <v>163</v>
      </c>
      <c r="B18" s="8" t="s">
        <v>107</v>
      </c>
      <c r="C18" s="8" t="s">
        <v>164</v>
      </c>
      <c r="D18" s="8" t="s">
        <v>596</v>
      </c>
      <c r="E18" s="8" t="s">
        <v>656</v>
      </c>
      <c r="F18" s="8" t="s">
        <v>657</v>
      </c>
      <c r="G18" s="8" t="s">
        <v>658</v>
      </c>
      <c r="H18" s="10" t="s">
        <v>605</v>
      </c>
      <c r="I18" s="10" t="n">
        <v>3</v>
      </c>
      <c r="J18" s="10" t="n">
        <v>3</v>
      </c>
      <c r="K18" s="11" t="n">
        <v>3</v>
      </c>
      <c r="L18" s="10" t="n">
        <v>3</v>
      </c>
      <c r="M18" s="10" t="n">
        <v>3</v>
      </c>
      <c r="N18" s="10" t="n">
        <v>3</v>
      </c>
      <c r="O18" s="10" t="n">
        <v>3</v>
      </c>
      <c r="P18" s="10" t="n">
        <v>2</v>
      </c>
      <c r="Q18" s="10" t="n">
        <v>3</v>
      </c>
      <c r="R18" s="10" t="n">
        <v>3</v>
      </c>
      <c r="S18" s="8" t="s">
        <v>659</v>
      </c>
      <c r="T18" s="8" t="s">
        <v>115</v>
      </c>
      <c r="U18" s="10" t="s">
        <v>654</v>
      </c>
      <c r="V18" s="10" t="n">
        <v>27</v>
      </c>
      <c r="W18" s="8" t="s">
        <v>660</v>
      </c>
    </row>
    <row r="19" customFormat="false" ht="42.75" hidden="false" customHeight="true" outlineLevel="0" collapsed="false">
      <c r="A19" s="9" t="s">
        <v>152</v>
      </c>
      <c r="B19" s="8" t="s">
        <v>107</v>
      </c>
      <c r="C19" s="8" t="s">
        <v>153</v>
      </c>
      <c r="D19" s="8" t="s">
        <v>596</v>
      </c>
      <c r="E19" s="8" t="s">
        <v>661</v>
      </c>
      <c r="F19" s="8" t="s">
        <v>662</v>
      </c>
      <c r="G19" s="8" t="s">
        <v>663</v>
      </c>
      <c r="H19" s="10" t="s">
        <v>580</v>
      </c>
      <c r="I19" s="10" t="n">
        <v>3</v>
      </c>
      <c r="J19" s="10" t="n">
        <v>2</v>
      </c>
      <c r="K19" s="11" t="n">
        <v>3</v>
      </c>
      <c r="L19" s="10" t="n">
        <v>3</v>
      </c>
      <c r="M19" s="10" t="n">
        <v>2</v>
      </c>
      <c r="N19" s="10" t="n">
        <v>3</v>
      </c>
      <c r="O19" s="10" t="n">
        <v>3</v>
      </c>
      <c r="P19" s="10" t="n">
        <v>2</v>
      </c>
      <c r="Q19" s="10" t="n">
        <v>3</v>
      </c>
      <c r="R19" s="10" t="n">
        <v>2</v>
      </c>
      <c r="S19" s="8" t="s">
        <v>664</v>
      </c>
      <c r="T19" s="8" t="s">
        <v>115</v>
      </c>
      <c r="U19" s="10" t="s">
        <v>58</v>
      </c>
      <c r="V19" s="10" t="n">
        <v>9</v>
      </c>
      <c r="W19" s="8" t="s">
        <v>665</v>
      </c>
    </row>
    <row r="20" customFormat="false" ht="69" hidden="false" customHeight="true" outlineLevel="0" collapsed="false">
      <c r="A20" s="9" t="s">
        <v>185</v>
      </c>
      <c r="B20" s="8" t="s">
        <v>118</v>
      </c>
      <c r="C20" s="8" t="s">
        <v>186</v>
      </c>
      <c r="D20" s="8" t="s">
        <v>567</v>
      </c>
      <c r="E20" s="8" t="s">
        <v>666</v>
      </c>
      <c r="F20" s="8" t="s">
        <v>667</v>
      </c>
      <c r="G20" s="8" t="s">
        <v>668</v>
      </c>
      <c r="H20" s="10" t="s">
        <v>571</v>
      </c>
      <c r="I20" s="10" t="n">
        <v>3</v>
      </c>
      <c r="J20" s="10" t="n">
        <v>2</v>
      </c>
      <c r="K20" s="11" t="n">
        <v>3</v>
      </c>
      <c r="L20" s="10" t="n">
        <v>3</v>
      </c>
      <c r="M20" s="10" t="n">
        <v>2</v>
      </c>
      <c r="N20" s="10" t="n">
        <v>3</v>
      </c>
      <c r="O20" s="10" t="n">
        <v>3</v>
      </c>
      <c r="P20" s="10" t="n">
        <v>2</v>
      </c>
      <c r="Q20" s="10" t="n">
        <v>3</v>
      </c>
      <c r="R20" s="10" t="n">
        <v>2</v>
      </c>
      <c r="S20" s="8" t="s">
        <v>669</v>
      </c>
      <c r="T20" s="8" t="s">
        <v>480</v>
      </c>
      <c r="U20" s="10" t="s">
        <v>58</v>
      </c>
      <c r="V20" s="10" t="n">
        <v>80</v>
      </c>
      <c r="W20" s="8" t="s">
        <v>670</v>
      </c>
    </row>
    <row r="21" customFormat="false" ht="55.5" hidden="false" customHeight="true" outlineLevel="0" collapsed="false">
      <c r="A21" s="9" t="s">
        <v>173</v>
      </c>
      <c r="B21" s="8" t="s">
        <v>118</v>
      </c>
      <c r="C21" s="8" t="s">
        <v>174</v>
      </c>
      <c r="D21" s="8" t="s">
        <v>567</v>
      </c>
      <c r="E21" s="8" t="s">
        <v>671</v>
      </c>
      <c r="F21" s="8" t="s">
        <v>672</v>
      </c>
      <c r="G21" s="8" t="s">
        <v>673</v>
      </c>
      <c r="H21" s="10" t="s">
        <v>571</v>
      </c>
      <c r="I21" s="10" t="n">
        <v>3</v>
      </c>
      <c r="J21" s="10" t="n">
        <v>3</v>
      </c>
      <c r="K21" s="11" t="n">
        <v>3</v>
      </c>
      <c r="L21" s="10" t="n">
        <v>3</v>
      </c>
      <c r="M21" s="10" t="n">
        <v>3</v>
      </c>
      <c r="N21" s="10" t="n">
        <v>3</v>
      </c>
      <c r="O21" s="10" t="n">
        <v>3</v>
      </c>
      <c r="P21" s="10" t="n">
        <v>2</v>
      </c>
      <c r="Q21" s="10" t="n">
        <v>3</v>
      </c>
      <c r="R21" s="10" t="n">
        <v>2</v>
      </c>
      <c r="S21" s="8" t="s">
        <v>674</v>
      </c>
      <c r="T21" s="8" t="s">
        <v>490</v>
      </c>
      <c r="U21" s="10" t="s">
        <v>58</v>
      </c>
      <c r="V21" s="10" t="n">
        <v>76</v>
      </c>
      <c r="W21" s="8" t="s">
        <v>675</v>
      </c>
    </row>
    <row r="22" customFormat="false" ht="42.75" hidden="false" customHeight="true" outlineLevel="0" collapsed="false">
      <c r="A22" s="9" t="s">
        <v>187</v>
      </c>
      <c r="B22" s="8" t="s">
        <v>118</v>
      </c>
      <c r="C22" s="8" t="s">
        <v>188</v>
      </c>
      <c r="D22" s="8" t="s">
        <v>676</v>
      </c>
      <c r="E22" s="8" t="s">
        <v>677</v>
      </c>
      <c r="F22" s="8" t="s">
        <v>678</v>
      </c>
      <c r="G22" s="8" t="s">
        <v>679</v>
      </c>
      <c r="H22" s="10" t="s">
        <v>571</v>
      </c>
      <c r="I22" s="10" t="n">
        <v>3</v>
      </c>
      <c r="J22" s="10" t="n">
        <v>3</v>
      </c>
      <c r="K22" s="11" t="n">
        <v>3</v>
      </c>
      <c r="L22" s="10" t="n">
        <v>3</v>
      </c>
      <c r="M22" s="10" t="n">
        <v>3</v>
      </c>
      <c r="N22" s="10" t="n">
        <v>3</v>
      </c>
      <c r="O22" s="10" t="n">
        <v>3</v>
      </c>
      <c r="P22" s="10" t="n">
        <v>2</v>
      </c>
      <c r="Q22" s="10" t="n">
        <v>3</v>
      </c>
      <c r="R22" s="10" t="n">
        <v>2</v>
      </c>
      <c r="S22" s="8" t="s">
        <v>680</v>
      </c>
      <c r="T22" s="8" t="s">
        <v>423</v>
      </c>
      <c r="U22" s="10" t="s">
        <v>58</v>
      </c>
      <c r="V22" s="10" t="n">
        <v>86</v>
      </c>
      <c r="W22" s="8" t="s">
        <v>681</v>
      </c>
    </row>
    <row r="23" customFormat="false" ht="69" hidden="false" customHeight="true" outlineLevel="0" collapsed="false">
      <c r="A23" s="9" t="s">
        <v>133</v>
      </c>
      <c r="B23" s="8" t="s">
        <v>128</v>
      </c>
      <c r="C23" s="8" t="s">
        <v>189</v>
      </c>
      <c r="D23" s="8" t="s">
        <v>682</v>
      </c>
      <c r="E23" s="8" t="s">
        <v>683</v>
      </c>
      <c r="F23" s="8" t="s">
        <v>684</v>
      </c>
      <c r="G23" s="8" t="s">
        <v>685</v>
      </c>
      <c r="H23" s="10" t="s">
        <v>605</v>
      </c>
      <c r="I23" s="10" t="n">
        <v>3</v>
      </c>
      <c r="J23" s="10" t="n">
        <v>3</v>
      </c>
      <c r="K23" s="11" t="n">
        <v>3</v>
      </c>
      <c r="L23" s="10" t="n">
        <v>3</v>
      </c>
      <c r="M23" s="10" t="n">
        <v>3</v>
      </c>
      <c r="N23" s="10" t="n">
        <v>3</v>
      </c>
      <c r="O23" s="10" t="n">
        <v>3</v>
      </c>
      <c r="P23" s="10" t="n">
        <v>2</v>
      </c>
      <c r="Q23" s="10" t="n">
        <v>3</v>
      </c>
      <c r="R23" s="10" t="n">
        <v>2</v>
      </c>
      <c r="S23" s="8" t="s">
        <v>686</v>
      </c>
      <c r="T23" s="8" t="s">
        <v>135</v>
      </c>
      <c r="U23" s="10" t="s">
        <v>58</v>
      </c>
      <c r="V23" s="10" t="n">
        <v>110</v>
      </c>
      <c r="W23" s="8" t="s">
        <v>687</v>
      </c>
    </row>
    <row r="24" customFormat="false" ht="55.5" hidden="false" customHeight="true" outlineLevel="0" collapsed="false">
      <c r="A24" s="9" t="s">
        <v>516</v>
      </c>
      <c r="B24" s="8" t="s">
        <v>688</v>
      </c>
      <c r="C24" s="8" t="s">
        <v>689</v>
      </c>
      <c r="D24" s="8" t="s">
        <v>690</v>
      </c>
      <c r="E24" s="8" t="s">
        <v>691</v>
      </c>
      <c r="F24" s="8" t="s">
        <v>692</v>
      </c>
      <c r="G24" s="8" t="s">
        <v>693</v>
      </c>
      <c r="H24" s="10" t="s">
        <v>694</v>
      </c>
      <c r="I24" s="10" t="n">
        <v>2</v>
      </c>
      <c r="J24" s="10" t="n">
        <v>2</v>
      </c>
      <c r="K24" s="11" t="n">
        <v>2</v>
      </c>
      <c r="L24" s="10" t="n">
        <v>2</v>
      </c>
      <c r="M24" s="10" t="n">
        <v>2</v>
      </c>
      <c r="N24" s="10" t="n">
        <v>2</v>
      </c>
      <c r="O24" s="10" t="n">
        <v>2</v>
      </c>
      <c r="P24" s="10" t="n">
        <v>2</v>
      </c>
      <c r="Q24" s="10" t="n">
        <v>2</v>
      </c>
      <c r="R24" s="10" t="n">
        <v>1</v>
      </c>
      <c r="S24" s="8" t="s">
        <v>695</v>
      </c>
      <c r="T24" s="8" t="s">
        <v>518</v>
      </c>
      <c r="U24" s="10" t="s">
        <v>58</v>
      </c>
      <c r="V24" s="10" t="n">
        <v>209</v>
      </c>
      <c r="W24" s="8" t="s">
        <v>696</v>
      </c>
    </row>
    <row r="26" customFormat="false" ht="15" hidden="false" customHeight="true" outlineLevel="0" collapsed="false">
      <c r="A26" s="12" t="s">
        <v>697</v>
      </c>
    </row>
  </sheetData>
  <autoFilter ref="A4:W21"/>
  <conditionalFormatting sqref="K5:K24">
    <cfRule type="cellIs" priority="2" operator="equal" aboveAverage="0" equalAverage="0" bottom="0" percent="0" rank="0" text="" dxfId="0">
      <formula>4</formula>
    </cfRule>
    <cfRule type="cellIs" priority="3" operator="equal" aboveAverage="0" equalAverage="0" bottom="0" percent="0" rank="0" text="" dxfId="1">
      <formula>3</formula>
    </cfRule>
    <cfRule type="cellIs" priority="4" operator="equal" aboveAverage="0" equalAverage="0" bottom="0" percent="0" rank="0" text="" dxfId="2">
      <formula>2</formula>
    </cfRule>
    <cfRule type="cellIs" priority="5" operator="equal" aboveAverage="0" equalAverage="0" bottom="0" percent="0" rank="0" text="" dxfId="3">
      <formula>1</formula>
    </cfRule>
  </conditionalFormatting>
  <conditionalFormatting sqref="N5:N24">
    <cfRule type="cellIs" priority="6" operator="equal" aboveAverage="0" equalAverage="0" bottom="0" percent="0" rank="0" text="" dxfId="0">
      <formula>4</formula>
    </cfRule>
    <cfRule type="cellIs" priority="7" operator="equal" aboveAverage="0" equalAverage="0" bottom="0" percent="0" rank="0" text="" dxfId="1">
      <formula>3</formula>
    </cfRule>
    <cfRule type="cellIs" priority="8" operator="equal" aboveAverage="0" equalAverage="0" bottom="0" percent="0" rank="0" text="" dxfId="2">
      <formula>2</formula>
    </cfRule>
    <cfRule type="cellIs" priority="9" operator="equal" aboveAverage="0" equalAverage="0" bottom="0" percent="0" rank="0" text="" dxfId="3">
      <formula>1</formula>
    </cfRule>
  </conditionalFormatting>
  <conditionalFormatting sqref="Q5:R24">
    <cfRule type="cellIs" priority="10" operator="equal" aboveAverage="0" equalAverage="0" bottom="0" percent="0" rank="0" text="" dxfId="0">
      <formula>4</formula>
    </cfRule>
    <cfRule type="cellIs" priority="11" operator="equal" aboveAverage="0" equalAverage="0" bottom="0" percent="0" rank="0" text="" dxfId="1">
      <formula>3</formula>
    </cfRule>
    <cfRule type="cellIs" priority="12" operator="equal" aboveAverage="0" equalAverage="0" bottom="0" percent="0" rank="0" text="" dxfId="2">
      <formula>2</formula>
    </cfRule>
    <cfRule type="cellIs" priority="13" operator="equal" aboveAverage="0" equalAverage="0" bottom="0" percent="0" rank="0" text="" dxfId="3">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4" min="3" style="1" width="30"/>
    <col collapsed="false" customWidth="true" hidden="false" outlineLevel="0" max="5" min="5" style="1" width="13"/>
    <col collapsed="false" customWidth="true" hidden="false" outlineLevel="0" max="6" min="6" style="1" width="15"/>
    <col collapsed="false" customWidth="true" hidden="false" outlineLevel="0" max="8" min="7" style="1" width="12"/>
    <col collapsed="false" customWidth="true" hidden="false" outlineLevel="0" max="9" min="9" style="1" width="18"/>
    <col collapsed="false" customWidth="true" hidden="false" outlineLevel="0" max="10" min="10" style="1" width="60"/>
  </cols>
  <sheetData>
    <row r="1" customFormat="false" ht="17.25" hidden="false" customHeight="true" outlineLevel="0" collapsed="false">
      <c r="A1" s="2" t="s">
        <v>698</v>
      </c>
    </row>
    <row r="2" customFormat="false" ht="15" hidden="false" customHeight="true" outlineLevel="0" collapsed="false">
      <c r="A2" s="3" t="s">
        <v>699</v>
      </c>
    </row>
    <row r="4" customFormat="false" ht="42" hidden="false" customHeight="true" outlineLevel="0" collapsed="false">
      <c r="A4" s="6" t="s">
        <v>700</v>
      </c>
      <c r="B4" s="6" t="s">
        <v>701</v>
      </c>
      <c r="C4" s="6" t="s">
        <v>702</v>
      </c>
      <c r="D4" s="6" t="s">
        <v>703</v>
      </c>
      <c r="E4" s="6" t="s">
        <v>704</v>
      </c>
      <c r="F4" s="6" t="s">
        <v>705</v>
      </c>
      <c r="G4" s="6" t="s">
        <v>706</v>
      </c>
      <c r="H4" s="6" t="s">
        <v>16</v>
      </c>
      <c r="I4" s="6" t="s">
        <v>34</v>
      </c>
      <c r="J4" s="6" t="s">
        <v>35</v>
      </c>
    </row>
    <row r="5" customFormat="false" ht="69" hidden="false" customHeight="true" outlineLevel="0" collapsed="false">
      <c r="A5" s="7" t="s">
        <v>364</v>
      </c>
      <c r="B5" s="8" t="s">
        <v>707</v>
      </c>
      <c r="C5" s="8" t="s">
        <v>708</v>
      </c>
      <c r="D5" s="8" t="s">
        <v>709</v>
      </c>
      <c r="E5" s="10" t="n">
        <v>2</v>
      </c>
      <c r="F5" s="10" t="s">
        <v>710</v>
      </c>
      <c r="G5" s="8" t="s">
        <v>711</v>
      </c>
      <c r="H5" s="10" t="s">
        <v>712</v>
      </c>
      <c r="I5" s="8" t="s">
        <v>713</v>
      </c>
      <c r="J5" s="8" t="s">
        <v>714</v>
      </c>
    </row>
    <row r="6" customFormat="false" ht="42.75" hidden="false" customHeight="true" outlineLevel="0" collapsed="false">
      <c r="A6" s="7" t="s">
        <v>328</v>
      </c>
      <c r="B6" s="8" t="s">
        <v>715</v>
      </c>
      <c r="C6" s="8" t="s">
        <v>716</v>
      </c>
      <c r="D6" s="8" t="s">
        <v>717</v>
      </c>
      <c r="E6" s="10" t="n">
        <v>0</v>
      </c>
      <c r="F6" s="10" t="n">
        <v>0</v>
      </c>
      <c r="G6" s="8" t="s">
        <v>718</v>
      </c>
      <c r="H6" s="10" t="s">
        <v>719</v>
      </c>
      <c r="I6" s="8" t="s">
        <v>713</v>
      </c>
      <c r="J6" s="8" t="s">
        <v>720</v>
      </c>
    </row>
    <row r="7" customFormat="false" ht="42.75" hidden="false" customHeight="true" outlineLevel="0" collapsed="false">
      <c r="A7" s="7" t="s">
        <v>377</v>
      </c>
      <c r="B7" s="8" t="s">
        <v>721</v>
      </c>
      <c r="C7" s="8" t="s">
        <v>722</v>
      </c>
      <c r="D7" s="8" t="s">
        <v>723</v>
      </c>
      <c r="E7" s="10" t="n">
        <v>13</v>
      </c>
      <c r="F7" s="10" t="s">
        <v>724</v>
      </c>
      <c r="G7" s="8" t="s">
        <v>725</v>
      </c>
      <c r="H7" s="10" t="s">
        <v>712</v>
      </c>
      <c r="I7" s="8" t="s">
        <v>713</v>
      </c>
      <c r="J7" s="8" t="s">
        <v>726</v>
      </c>
    </row>
    <row r="8" customFormat="false" ht="16.5" hidden="false" customHeight="true" outlineLevel="0" collapsed="false">
      <c r="A8" s="7" t="s">
        <v>389</v>
      </c>
      <c r="B8" s="8" t="s">
        <v>727</v>
      </c>
      <c r="C8" s="8" t="s">
        <v>728</v>
      </c>
      <c r="D8" s="8" t="s">
        <v>729</v>
      </c>
      <c r="E8" s="10" t="n">
        <v>3</v>
      </c>
      <c r="F8" s="10" t="s">
        <v>730</v>
      </c>
      <c r="G8" s="8" t="s">
        <v>384</v>
      </c>
      <c r="H8" s="10" t="s">
        <v>712</v>
      </c>
      <c r="I8" s="8" t="s">
        <v>713</v>
      </c>
      <c r="J8" s="8" t="s">
        <v>731</v>
      </c>
    </row>
    <row r="9" customFormat="false" ht="16.5" hidden="false" customHeight="true" outlineLevel="0" collapsed="false">
      <c r="A9" s="7" t="s">
        <v>629</v>
      </c>
      <c r="B9" s="8" t="s">
        <v>732</v>
      </c>
      <c r="C9" s="8" t="s">
        <v>733</v>
      </c>
      <c r="D9" s="8" t="s">
        <v>734</v>
      </c>
      <c r="E9" s="10" t="n">
        <v>2</v>
      </c>
      <c r="F9" s="10" t="s">
        <v>735</v>
      </c>
      <c r="G9" s="8" t="s">
        <v>397</v>
      </c>
      <c r="H9" s="10" t="s">
        <v>712</v>
      </c>
      <c r="I9" s="8" t="s">
        <v>713</v>
      </c>
      <c r="J9" s="8" t="s">
        <v>736</v>
      </c>
    </row>
    <row r="10" customFormat="false" ht="30" hidden="false" customHeight="true" outlineLevel="0" collapsed="false">
      <c r="A10" s="7" t="s">
        <v>648</v>
      </c>
      <c r="B10" s="8" t="s">
        <v>737</v>
      </c>
      <c r="C10" s="8" t="s">
        <v>738</v>
      </c>
      <c r="D10" s="8" t="s">
        <v>739</v>
      </c>
      <c r="E10" s="10" t="n">
        <v>0</v>
      </c>
      <c r="F10" s="10" t="n">
        <v>0</v>
      </c>
      <c r="G10" s="8" t="s">
        <v>337</v>
      </c>
      <c r="H10" s="10" t="s">
        <v>719</v>
      </c>
      <c r="I10" s="8" t="s">
        <v>713</v>
      </c>
      <c r="J10" s="8" t="s">
        <v>740</v>
      </c>
    </row>
    <row r="11" customFormat="false" ht="42.75" hidden="false" customHeight="true" outlineLevel="0" collapsed="false">
      <c r="A11" s="7" t="s">
        <v>115</v>
      </c>
      <c r="B11" s="8" t="s">
        <v>741</v>
      </c>
      <c r="C11" s="8" t="s">
        <v>742</v>
      </c>
      <c r="D11" s="8" t="s">
        <v>743</v>
      </c>
      <c r="E11" s="10" t="n">
        <v>0</v>
      </c>
      <c r="F11" s="10" t="n">
        <v>2</v>
      </c>
      <c r="G11" s="8" t="s">
        <v>439</v>
      </c>
      <c r="H11" s="10" t="s">
        <v>712</v>
      </c>
      <c r="I11" s="8" t="s">
        <v>713</v>
      </c>
      <c r="J11" s="8" t="s">
        <v>744</v>
      </c>
    </row>
    <row r="12" customFormat="false" ht="42.75" hidden="false" customHeight="true" outlineLevel="0" collapsed="false">
      <c r="A12" s="7" t="s">
        <v>135</v>
      </c>
      <c r="B12" s="8" t="s">
        <v>745</v>
      </c>
      <c r="C12" s="8" t="s">
        <v>746</v>
      </c>
      <c r="D12" s="8" t="s">
        <v>747</v>
      </c>
      <c r="E12" s="10" t="n">
        <v>2</v>
      </c>
      <c r="F12" s="10" t="s">
        <v>748</v>
      </c>
      <c r="G12" s="8" t="s">
        <v>749</v>
      </c>
      <c r="H12" s="10" t="s">
        <v>750</v>
      </c>
      <c r="I12" s="8" t="s">
        <v>713</v>
      </c>
      <c r="J12" s="8" t="s">
        <v>751</v>
      </c>
    </row>
    <row r="13" customFormat="false" ht="55.5" hidden="false" customHeight="true" outlineLevel="0" collapsed="false">
      <c r="A13" s="7" t="s">
        <v>423</v>
      </c>
      <c r="B13" s="8" t="s">
        <v>752</v>
      </c>
      <c r="C13" s="8" t="s">
        <v>753</v>
      </c>
      <c r="D13" s="8" t="s">
        <v>754</v>
      </c>
      <c r="E13" s="10" t="n">
        <v>0</v>
      </c>
      <c r="F13" s="10" t="n">
        <v>1</v>
      </c>
      <c r="G13" s="8" t="s">
        <v>418</v>
      </c>
      <c r="H13" s="10" t="s">
        <v>719</v>
      </c>
      <c r="I13" s="8" t="s">
        <v>713</v>
      </c>
      <c r="J13" s="8" t="s">
        <v>755</v>
      </c>
    </row>
    <row r="14" customFormat="false" ht="30" hidden="false" customHeight="true" outlineLevel="0" collapsed="false">
      <c r="A14" s="7" t="s">
        <v>490</v>
      </c>
      <c r="B14" s="8" t="s">
        <v>756</v>
      </c>
      <c r="C14" s="8" t="s">
        <v>757</v>
      </c>
      <c r="D14" s="8" t="s">
        <v>758</v>
      </c>
      <c r="E14" s="10" t="n">
        <v>0</v>
      </c>
      <c r="F14" s="10" t="n">
        <v>0</v>
      </c>
      <c r="G14" s="8" t="s">
        <v>487</v>
      </c>
      <c r="H14" s="10" t="s">
        <v>719</v>
      </c>
      <c r="I14" s="8" t="s">
        <v>713</v>
      </c>
      <c r="J14" s="8" t="s">
        <v>759</v>
      </c>
    </row>
    <row r="15" customFormat="false" ht="81.75" hidden="false" customHeight="true" outlineLevel="0" collapsed="false">
      <c r="A15" s="7" t="s">
        <v>480</v>
      </c>
      <c r="B15" s="8" t="s">
        <v>760</v>
      </c>
      <c r="C15" s="8" t="s">
        <v>761</v>
      </c>
      <c r="D15" s="8" t="s">
        <v>762</v>
      </c>
      <c r="E15" s="10" t="n">
        <v>0</v>
      </c>
      <c r="F15" s="10" t="n">
        <v>1</v>
      </c>
      <c r="G15" s="8" t="s">
        <v>477</v>
      </c>
      <c r="H15" s="10" t="s">
        <v>719</v>
      </c>
      <c r="I15" s="8" t="s">
        <v>713</v>
      </c>
      <c r="J15" s="8" t="s">
        <v>763</v>
      </c>
    </row>
    <row r="16" customFormat="false" ht="81.75" hidden="false" customHeight="true" outlineLevel="0" collapsed="false">
      <c r="A16" s="7" t="s">
        <v>518</v>
      </c>
      <c r="B16" s="8" t="s">
        <v>764</v>
      </c>
      <c r="C16" s="8" t="s">
        <v>765</v>
      </c>
      <c r="D16" s="8" t="s">
        <v>766</v>
      </c>
      <c r="E16" s="10" t="n">
        <v>0</v>
      </c>
      <c r="F16" s="10" t="n">
        <v>0</v>
      </c>
      <c r="G16" s="8" t="s">
        <v>513</v>
      </c>
      <c r="H16" s="10" t="s">
        <v>712</v>
      </c>
      <c r="I16" s="8" t="s">
        <v>713</v>
      </c>
      <c r="J16" s="8" t="s">
        <v>767</v>
      </c>
    </row>
    <row r="17" customFormat="false" ht="42.75" hidden="false" customHeight="true" outlineLevel="0" collapsed="false">
      <c r="A17" s="20" t="s">
        <v>768</v>
      </c>
      <c r="B17" s="21" t="s">
        <v>769</v>
      </c>
      <c r="C17" s="21" t="s">
        <v>770</v>
      </c>
      <c r="D17" s="21" t="s">
        <v>771</v>
      </c>
      <c r="E17" s="22" t="n">
        <v>5</v>
      </c>
      <c r="F17" s="22" t="s">
        <v>58</v>
      </c>
      <c r="G17" s="21" t="s">
        <v>58</v>
      </c>
      <c r="H17" s="22" t="s">
        <v>58</v>
      </c>
      <c r="I17" s="21" t="s">
        <v>772</v>
      </c>
      <c r="J17" s="21" t="s">
        <v>773</v>
      </c>
    </row>
    <row r="18" customFormat="false" ht="42.75" hidden="false" customHeight="true" outlineLevel="0" collapsed="false">
      <c r="A18" s="20" t="s">
        <v>774</v>
      </c>
      <c r="B18" s="21" t="s">
        <v>775</v>
      </c>
      <c r="C18" s="21" t="s">
        <v>776</v>
      </c>
      <c r="D18" s="21" t="s">
        <v>777</v>
      </c>
      <c r="E18" s="22" t="n">
        <v>8</v>
      </c>
      <c r="F18" s="22" t="s">
        <v>58</v>
      </c>
      <c r="G18" s="21" t="s">
        <v>58</v>
      </c>
      <c r="H18" s="22" t="s">
        <v>58</v>
      </c>
      <c r="I18" s="21" t="s">
        <v>778</v>
      </c>
      <c r="J18" s="21" t="s">
        <v>779</v>
      </c>
    </row>
    <row r="19" customFormat="false" ht="30" hidden="false" customHeight="true" outlineLevel="0" collapsed="false">
      <c r="A19" s="20" t="s">
        <v>780</v>
      </c>
      <c r="B19" s="21" t="s">
        <v>781</v>
      </c>
      <c r="C19" s="21" t="s">
        <v>782</v>
      </c>
      <c r="D19" s="21" t="s">
        <v>783</v>
      </c>
      <c r="E19" s="22" t="n">
        <v>1</v>
      </c>
      <c r="F19" s="22" t="s">
        <v>58</v>
      </c>
      <c r="G19" s="21" t="s">
        <v>58</v>
      </c>
      <c r="H19" s="22" t="s">
        <v>58</v>
      </c>
      <c r="I19" s="21" t="s">
        <v>778</v>
      </c>
      <c r="J19" s="21" t="s">
        <v>784</v>
      </c>
    </row>
    <row r="20" customFormat="false" ht="30" hidden="false" customHeight="true" outlineLevel="0" collapsed="false">
      <c r="A20" s="20" t="s">
        <v>785</v>
      </c>
      <c r="B20" s="21" t="s">
        <v>786</v>
      </c>
      <c r="C20" s="21" t="s">
        <v>787</v>
      </c>
      <c r="D20" s="21" t="s">
        <v>788</v>
      </c>
      <c r="E20" s="22" t="n">
        <v>0</v>
      </c>
      <c r="F20" s="22" t="s">
        <v>58</v>
      </c>
      <c r="G20" s="21" t="s">
        <v>58</v>
      </c>
      <c r="H20" s="22" t="s">
        <v>58</v>
      </c>
      <c r="I20" s="21" t="s">
        <v>778</v>
      </c>
      <c r="J20" s="21" t="s">
        <v>789</v>
      </c>
    </row>
    <row r="21" customFormat="false" ht="42.75" hidden="false" customHeight="true" outlineLevel="0" collapsed="false">
      <c r="A21" s="20" t="s">
        <v>790</v>
      </c>
      <c r="B21" s="21" t="s">
        <v>791</v>
      </c>
      <c r="C21" s="21" t="s">
        <v>792</v>
      </c>
      <c r="D21" s="21" t="s">
        <v>793</v>
      </c>
      <c r="E21" s="22" t="n">
        <v>5</v>
      </c>
      <c r="F21" s="22" t="s">
        <v>58</v>
      </c>
      <c r="G21" s="21" t="s">
        <v>58</v>
      </c>
      <c r="H21" s="22" t="s">
        <v>58</v>
      </c>
      <c r="I21" s="21" t="s">
        <v>778</v>
      </c>
      <c r="J21" s="21" t="s">
        <v>794</v>
      </c>
    </row>
    <row r="22" customFormat="false" ht="30" hidden="false" customHeight="true" outlineLevel="0" collapsed="false">
      <c r="A22" s="20" t="s">
        <v>795</v>
      </c>
      <c r="B22" s="21" t="s">
        <v>796</v>
      </c>
      <c r="C22" s="21" t="s">
        <v>797</v>
      </c>
      <c r="D22" s="21" t="s">
        <v>798</v>
      </c>
      <c r="E22" s="22" t="n">
        <v>0</v>
      </c>
      <c r="F22" s="22" t="s">
        <v>58</v>
      </c>
      <c r="G22" s="21" t="s">
        <v>58</v>
      </c>
      <c r="H22" s="22" t="s">
        <v>58</v>
      </c>
      <c r="I22" s="21" t="s">
        <v>799</v>
      </c>
      <c r="J22" s="21" t="s">
        <v>800</v>
      </c>
    </row>
    <row r="23" customFormat="false" ht="16.5" hidden="false" customHeight="true" outlineLevel="0" collapsed="false">
      <c r="A23" s="20" t="s">
        <v>801</v>
      </c>
      <c r="B23" s="21" t="s">
        <v>802</v>
      </c>
      <c r="C23" s="21" t="s">
        <v>803</v>
      </c>
      <c r="D23" s="21" t="s">
        <v>798</v>
      </c>
      <c r="E23" s="22" t="n">
        <v>1</v>
      </c>
      <c r="F23" s="22" t="s">
        <v>58</v>
      </c>
      <c r="G23" s="21" t="s">
        <v>58</v>
      </c>
      <c r="H23" s="22" t="s">
        <v>58</v>
      </c>
      <c r="I23" s="21" t="s">
        <v>804</v>
      </c>
      <c r="J23" s="21" t="s">
        <v>805</v>
      </c>
    </row>
    <row r="25" customFormat="false" ht="15" hidden="false" customHeight="true" outlineLevel="0" collapsed="false">
      <c r="A25" s="3" t="s">
        <v>806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60"/>
    <col collapsed="false" customWidth="true" hidden="false" outlineLevel="0" max="6" min="3" style="1" width="16"/>
  </cols>
  <sheetData>
    <row r="1" customFormat="false" ht="17.25" hidden="false" customHeight="true" outlineLevel="0" collapsed="false">
      <c r="A1" s="2" t="s">
        <v>807</v>
      </c>
    </row>
    <row r="2" customFormat="false" ht="15" hidden="false" customHeight="true" outlineLevel="0" collapsed="false">
      <c r="A2" s="3" t="s">
        <v>808</v>
      </c>
    </row>
    <row r="4" customFormat="false" ht="15" hidden="false" customHeight="true" outlineLevel="0" collapsed="false">
      <c r="A4" s="23" t="s">
        <v>809</v>
      </c>
    </row>
    <row r="5" customFormat="false" ht="42" hidden="false" customHeight="true" outlineLevel="0" collapsed="false">
      <c r="A5" s="6" t="s">
        <v>810</v>
      </c>
      <c r="B5" s="6" t="s">
        <v>811</v>
      </c>
      <c r="C5" s="6" t="s">
        <v>812</v>
      </c>
      <c r="D5" s="6" t="s">
        <v>813</v>
      </c>
    </row>
    <row r="6" customFormat="false" ht="15" hidden="false" customHeight="true" outlineLevel="0" collapsed="false">
      <c r="A6" s="9" t="s">
        <v>814</v>
      </c>
      <c r="B6" s="10" t="n">
        <f aca="false">COUNTIF('Scénarios retenus'!$N$5:$N$24,4)</f>
        <v>1</v>
      </c>
      <c r="C6" s="10" t="n">
        <f aca="false">COUNTIF('Scénarios retenus'!$Q$5:$Q$24,4)</f>
        <v>0</v>
      </c>
      <c r="D6" s="10" t="n">
        <f aca="false">COUNTIF('Scénarios retenus'!$R$5:$R$24,4)</f>
        <v>0</v>
      </c>
    </row>
    <row r="7" customFormat="false" ht="15" hidden="false" customHeight="true" outlineLevel="0" collapsed="false">
      <c r="A7" s="9" t="s">
        <v>815</v>
      </c>
      <c r="B7" s="10" t="n">
        <f aca="false">COUNTIF('Scénarios retenus'!$N$5:$N$24,3)</f>
        <v>18</v>
      </c>
      <c r="C7" s="10" t="n">
        <f aca="false">COUNTIF('Scénarios retenus'!$Q$5:$Q$24,3)</f>
        <v>13</v>
      </c>
      <c r="D7" s="10" t="n">
        <f aca="false">COUNTIF('Scénarios retenus'!$R$5:$R$24,3)</f>
        <v>2</v>
      </c>
    </row>
    <row r="8" customFormat="false" ht="15" hidden="false" customHeight="true" outlineLevel="0" collapsed="false">
      <c r="A8" s="9" t="s">
        <v>816</v>
      </c>
      <c r="B8" s="10" t="n">
        <f aca="false">COUNTIF('Scénarios retenus'!$N$5:$N$24,2)</f>
        <v>1</v>
      </c>
      <c r="C8" s="10" t="n">
        <f aca="false">COUNTIF('Scénarios retenus'!$Q$5:$Q$24,2)</f>
        <v>7</v>
      </c>
      <c r="D8" s="10" t="n">
        <f aca="false">COUNTIF('Scénarios retenus'!$R$5:$R$24,2)</f>
        <v>14</v>
      </c>
    </row>
    <row r="9" customFormat="false" ht="15" hidden="false" customHeight="true" outlineLevel="0" collapsed="false">
      <c r="A9" s="9" t="s">
        <v>817</v>
      </c>
      <c r="B9" s="10" t="n">
        <f aca="false">COUNTIF('Scénarios retenus'!$N$5:$N$24,1)</f>
        <v>0</v>
      </c>
      <c r="C9" s="10" t="n">
        <f aca="false">COUNTIF('Scénarios retenus'!$Q$5:$Q$24,1)</f>
        <v>0</v>
      </c>
      <c r="D9" s="10" t="n">
        <f aca="false">COUNTIF('Scénarios retenus'!$R$5:$R$24,1)</f>
        <v>4</v>
      </c>
    </row>
    <row r="10" customFormat="false" ht="15" hidden="false" customHeight="true" outlineLevel="0" collapsed="false">
      <c r="A10" s="9" t="s">
        <v>818</v>
      </c>
      <c r="B10" s="7" t="n">
        <f aca="false">SUM(B6:B9)</f>
        <v>20</v>
      </c>
      <c r="C10" s="7" t="n">
        <f aca="false">SUM(C6:C9)</f>
        <v>20</v>
      </c>
      <c r="D10" s="7" t="n">
        <f aca="false">SUM(D6:D9)</f>
        <v>20</v>
      </c>
    </row>
    <row r="11" customFormat="false" ht="15" hidden="false" customHeight="true" outlineLevel="0" collapsed="false">
      <c r="A11" s="9" t="s">
        <v>819</v>
      </c>
      <c r="B11" s="7" t="n">
        <f aca="false">B6+B7</f>
        <v>19</v>
      </c>
      <c r="C11" s="7" t="n">
        <f aca="false">C6+C7</f>
        <v>13</v>
      </c>
      <c r="D11" s="7" t="n">
        <f aca="false">D6+D7</f>
        <v>2</v>
      </c>
    </row>
    <row r="13" customFormat="false" ht="15" hidden="false" customHeight="true" outlineLevel="0" collapsed="false">
      <c r="A13" s="23" t="s">
        <v>820</v>
      </c>
    </row>
    <row r="14" customFormat="false" ht="42" hidden="false" customHeight="true" outlineLevel="0" collapsed="false">
      <c r="A14" s="6" t="s">
        <v>810</v>
      </c>
      <c r="B14" s="6" t="s">
        <v>821</v>
      </c>
      <c r="C14" s="6" t="s">
        <v>812</v>
      </c>
      <c r="D14" s="6" t="s">
        <v>813</v>
      </c>
    </row>
    <row r="15" customFormat="false" ht="15" hidden="false" customHeight="true" outlineLevel="0" collapsed="false">
      <c r="A15" s="9" t="s">
        <v>814</v>
      </c>
      <c r="B15" s="10" t="n">
        <v>1</v>
      </c>
      <c r="C15" s="10" t="n">
        <v>0</v>
      </c>
      <c r="D15" s="10" t="n">
        <v>0</v>
      </c>
    </row>
    <row r="16" customFormat="false" ht="15" hidden="false" customHeight="true" outlineLevel="0" collapsed="false">
      <c r="A16" s="9" t="s">
        <v>815</v>
      </c>
      <c r="B16" s="10" t="n">
        <v>74</v>
      </c>
      <c r="C16" s="10" t="n">
        <v>51</v>
      </c>
      <c r="D16" s="10" t="n">
        <v>28</v>
      </c>
    </row>
    <row r="17" customFormat="false" ht="15" hidden="false" customHeight="true" outlineLevel="0" collapsed="false">
      <c r="A17" s="9" t="s">
        <v>816</v>
      </c>
      <c r="B17" s="10" t="n">
        <v>77</v>
      </c>
      <c r="C17" s="10" t="n">
        <v>97</v>
      </c>
      <c r="D17" s="10" t="n">
        <v>98</v>
      </c>
    </row>
    <row r="18" customFormat="false" ht="15" hidden="false" customHeight="true" outlineLevel="0" collapsed="false">
      <c r="A18" s="9" t="s">
        <v>817</v>
      </c>
      <c r="B18" s="10" t="n">
        <v>0</v>
      </c>
      <c r="C18" s="10" t="n">
        <v>4</v>
      </c>
      <c r="D18" s="10" t="n">
        <v>26</v>
      </c>
    </row>
    <row r="19" customFormat="false" ht="15" hidden="false" customHeight="true" outlineLevel="0" collapsed="false">
      <c r="A19" s="9" t="s">
        <v>822</v>
      </c>
      <c r="B19" s="10" t="n">
        <v>31</v>
      </c>
      <c r="C19" s="10" t="n">
        <v>31</v>
      </c>
      <c r="D19" s="10" t="n">
        <v>31</v>
      </c>
    </row>
    <row r="20" customFormat="false" ht="15" hidden="false" customHeight="true" outlineLevel="0" collapsed="false">
      <c r="A20" s="9" t="s">
        <v>818</v>
      </c>
      <c r="B20" s="7" t="n">
        <f aca="false">SUM(B15:B19)</f>
        <v>183</v>
      </c>
      <c r="C20" s="7" t="n">
        <f aca="false">SUM(C15:C19)</f>
        <v>183</v>
      </c>
      <c r="D20" s="7" t="n">
        <f aca="false">SUM(D15:D19)</f>
        <v>183</v>
      </c>
    </row>
    <row r="21" customFormat="false" ht="15" hidden="false" customHeight="true" outlineLevel="0" collapsed="false">
      <c r="A21" s="9" t="s">
        <v>819</v>
      </c>
      <c r="B21" s="7" t="n">
        <f aca="false">B15+B16</f>
        <v>75</v>
      </c>
      <c r="C21" s="7" t="n">
        <f aca="false">C15+C16</f>
        <v>51</v>
      </c>
      <c r="D21" s="7" t="n">
        <f aca="false">D15+D16</f>
        <v>28</v>
      </c>
    </row>
    <row r="22" customFormat="false" ht="15" hidden="false" customHeight="true" outlineLevel="0" collapsed="false">
      <c r="A22" s="12" t="s">
        <v>823</v>
      </c>
    </row>
    <row r="24" customFormat="false" ht="15" hidden="false" customHeight="true" outlineLevel="0" collapsed="false">
      <c r="A24" s="23" t="s">
        <v>824</v>
      </c>
    </row>
    <row r="25" customFormat="false" ht="42" hidden="false" customHeight="true" outlineLevel="0" collapsed="false">
      <c r="A25" s="6" t="s">
        <v>825</v>
      </c>
      <c r="B25" s="6" t="s">
        <v>826</v>
      </c>
      <c r="C25" s="6" t="s">
        <v>827</v>
      </c>
      <c r="D25" s="6" t="s">
        <v>828</v>
      </c>
      <c r="E25" s="6" t="s">
        <v>829</v>
      </c>
    </row>
    <row r="26" customFormat="false" ht="15" hidden="false" customHeight="true" outlineLevel="0" collapsed="false">
      <c r="A26" s="9" t="s">
        <v>830</v>
      </c>
      <c r="B26" s="8" t="s">
        <v>831</v>
      </c>
      <c r="C26" s="10" t="n">
        <v>3</v>
      </c>
      <c r="D26" s="10" t="n">
        <v>1</v>
      </c>
      <c r="E26" s="10" t="n">
        <v>1</v>
      </c>
    </row>
    <row r="27" customFormat="false" ht="15" hidden="false" customHeight="true" outlineLevel="0" collapsed="false">
      <c r="A27" s="9" t="s">
        <v>832</v>
      </c>
      <c r="B27" s="8" t="s">
        <v>833</v>
      </c>
      <c r="C27" s="10" t="n">
        <v>3</v>
      </c>
      <c r="D27" s="10" t="n">
        <v>0</v>
      </c>
      <c r="E27" s="10" t="n">
        <v>1</v>
      </c>
    </row>
    <row r="28" customFormat="false" ht="15" hidden="false" customHeight="true" outlineLevel="0" collapsed="false">
      <c r="A28" s="9" t="s">
        <v>834</v>
      </c>
      <c r="B28" s="8" t="s">
        <v>835</v>
      </c>
      <c r="C28" s="10" t="n">
        <v>2</v>
      </c>
      <c r="D28" s="10" t="n">
        <v>0</v>
      </c>
      <c r="E28" s="10" t="n">
        <v>1</v>
      </c>
    </row>
    <row r="29" customFormat="false" ht="15" hidden="false" customHeight="true" outlineLevel="0" collapsed="false">
      <c r="A29" s="9" t="s">
        <v>836</v>
      </c>
      <c r="B29" s="8" t="s">
        <v>837</v>
      </c>
      <c r="C29" s="10" t="n">
        <v>5</v>
      </c>
      <c r="D29" s="10" t="n">
        <v>0</v>
      </c>
      <c r="E29" s="10" t="n">
        <v>1</v>
      </c>
    </row>
    <row r="30" customFormat="false" ht="15" hidden="false" customHeight="true" outlineLevel="0" collapsed="false">
      <c r="A30" s="9" t="s">
        <v>838</v>
      </c>
      <c r="B30" s="8" t="s">
        <v>839</v>
      </c>
      <c r="C30" s="10" t="n">
        <v>17</v>
      </c>
      <c r="D30" s="10" t="n">
        <v>0</v>
      </c>
      <c r="E30" s="10" t="n">
        <v>1</v>
      </c>
    </row>
    <row r="31" customFormat="false" ht="15" hidden="false" customHeight="true" outlineLevel="0" collapsed="false">
      <c r="A31" s="9" t="s">
        <v>840</v>
      </c>
      <c r="B31" s="8" t="s">
        <v>841</v>
      </c>
      <c r="C31" s="10" t="n">
        <v>8</v>
      </c>
      <c r="D31" s="10" t="n">
        <v>0</v>
      </c>
      <c r="E31" s="10" t="n">
        <v>1</v>
      </c>
    </row>
    <row r="32" customFormat="false" ht="15" hidden="false" customHeight="true" outlineLevel="0" collapsed="false">
      <c r="A32" s="9" t="s">
        <v>842</v>
      </c>
      <c r="B32" s="8" t="s">
        <v>843</v>
      </c>
      <c r="C32" s="10" t="n">
        <v>16</v>
      </c>
      <c r="D32" s="10" t="n">
        <v>0</v>
      </c>
      <c r="E32" s="10" t="n">
        <v>1</v>
      </c>
    </row>
    <row r="33" customFormat="false" ht="15" hidden="false" customHeight="true" outlineLevel="0" collapsed="false">
      <c r="A33" s="9" t="s">
        <v>844</v>
      </c>
      <c r="B33" s="8" t="s">
        <v>845</v>
      </c>
      <c r="C33" s="10" t="n">
        <v>8</v>
      </c>
      <c r="D33" s="10" t="n">
        <v>0</v>
      </c>
      <c r="E33" s="10" t="n">
        <v>1</v>
      </c>
    </row>
    <row r="34" customFormat="false" ht="15" hidden="false" customHeight="true" outlineLevel="0" collapsed="false">
      <c r="A34" s="9" t="s">
        <v>846</v>
      </c>
      <c r="B34" s="8" t="s">
        <v>847</v>
      </c>
      <c r="C34" s="10" t="n">
        <v>7</v>
      </c>
      <c r="D34" s="10" t="n">
        <v>0</v>
      </c>
      <c r="E34" s="10" t="n">
        <v>1</v>
      </c>
    </row>
    <row r="35" customFormat="false" ht="15" hidden="false" customHeight="true" outlineLevel="0" collapsed="false">
      <c r="A35" s="9" t="s">
        <v>848</v>
      </c>
      <c r="B35" s="8" t="s">
        <v>849</v>
      </c>
      <c r="C35" s="10" t="n">
        <v>14</v>
      </c>
      <c r="D35" s="10" t="n">
        <v>0</v>
      </c>
      <c r="E35" s="10" t="n">
        <v>1</v>
      </c>
    </row>
    <row r="36" customFormat="false" ht="15" hidden="false" customHeight="true" outlineLevel="0" collapsed="false">
      <c r="A36" s="9" t="s">
        <v>850</v>
      </c>
      <c r="B36" s="8" t="s">
        <v>851</v>
      </c>
      <c r="C36" s="10" t="n">
        <v>2</v>
      </c>
      <c r="D36" s="10" t="n">
        <v>0</v>
      </c>
      <c r="E36" s="10" t="n">
        <v>1</v>
      </c>
    </row>
    <row r="37" customFormat="false" ht="23.25" hidden="false" customHeight="true" outlineLevel="0" collapsed="false">
      <c r="A37" s="9" t="s">
        <v>852</v>
      </c>
      <c r="B37" s="8" t="s">
        <v>853</v>
      </c>
      <c r="C37" s="10" t="n">
        <v>26</v>
      </c>
      <c r="D37" s="10" t="n">
        <v>0.21</v>
      </c>
      <c r="E37" s="10" t="n">
        <v>1</v>
      </c>
    </row>
    <row r="38" customFormat="false" ht="23.25" hidden="false" customHeight="true" outlineLevel="0" collapsed="false">
      <c r="A38" s="9" t="s">
        <v>854</v>
      </c>
      <c r="B38" s="8" t="s">
        <v>855</v>
      </c>
      <c r="C38" s="10" t="n">
        <v>11</v>
      </c>
      <c r="D38" s="10" t="n">
        <v>0</v>
      </c>
      <c r="E38" s="10" t="n">
        <v>1</v>
      </c>
    </row>
    <row r="39" customFormat="false" ht="15" hidden="false" customHeight="true" outlineLevel="0" collapsed="false">
      <c r="A39" s="9" t="s">
        <v>856</v>
      </c>
      <c r="B39" s="8" t="s">
        <v>857</v>
      </c>
      <c r="C39" s="10" t="n">
        <v>4</v>
      </c>
      <c r="D39" s="10" t="n">
        <v>0</v>
      </c>
      <c r="E39" s="10" t="n">
        <v>1</v>
      </c>
    </row>
    <row r="40" customFormat="false" ht="15" hidden="false" customHeight="true" outlineLevel="0" collapsed="false">
      <c r="A40" s="9" t="s">
        <v>858</v>
      </c>
      <c r="B40" s="8" t="s">
        <v>859</v>
      </c>
      <c r="C40" s="10" t="n">
        <v>10</v>
      </c>
      <c r="D40" s="10" t="n">
        <v>0</v>
      </c>
      <c r="E40" s="10" t="n">
        <v>1</v>
      </c>
    </row>
    <row r="41" customFormat="false" ht="15" hidden="false" customHeight="true" outlineLevel="0" collapsed="false">
      <c r="A41" s="9" t="s">
        <v>860</v>
      </c>
      <c r="B41" s="8" t="s">
        <v>737</v>
      </c>
      <c r="C41" s="10" t="n">
        <v>6</v>
      </c>
      <c r="D41" s="10" t="n">
        <v>0.8</v>
      </c>
      <c r="E41" s="10" t="n">
        <v>1</v>
      </c>
    </row>
    <row r="42" customFormat="false" ht="15" hidden="false" customHeight="true" outlineLevel="0" collapsed="false">
      <c r="A42" s="9" t="s">
        <v>861</v>
      </c>
      <c r="B42" s="8" t="s">
        <v>862</v>
      </c>
      <c r="C42" s="10" t="n">
        <v>9</v>
      </c>
      <c r="D42" s="10" t="n">
        <v>0.92</v>
      </c>
      <c r="E42" s="10" t="n">
        <v>1</v>
      </c>
    </row>
    <row r="43" customFormat="false" ht="15" hidden="false" customHeight="true" outlineLevel="0" collapsed="false">
      <c r="A43" s="9" t="s">
        <v>863</v>
      </c>
      <c r="B43" s="8" t="s">
        <v>864</v>
      </c>
      <c r="C43" s="10" t="n">
        <v>17</v>
      </c>
      <c r="D43" s="10" t="n">
        <v>0.8</v>
      </c>
      <c r="E43" s="10" t="n">
        <v>1</v>
      </c>
    </row>
    <row r="44" customFormat="false" ht="15" hidden="false" customHeight="true" outlineLevel="0" collapsed="false">
      <c r="A44" s="9" t="s">
        <v>865</v>
      </c>
      <c r="B44" s="8" t="s">
        <v>866</v>
      </c>
      <c r="C44" s="10" t="n">
        <v>11</v>
      </c>
      <c r="D44" s="10" t="n">
        <v>0</v>
      </c>
      <c r="E44" s="10" t="n">
        <v>1</v>
      </c>
    </row>
    <row r="45" customFormat="false" ht="15" hidden="false" customHeight="true" outlineLevel="0" collapsed="false">
      <c r="A45" s="9" t="s">
        <v>867</v>
      </c>
      <c r="B45" s="8" t="s">
        <v>868</v>
      </c>
      <c r="C45" s="10" t="n">
        <v>9</v>
      </c>
      <c r="D45" s="10" t="n">
        <v>0</v>
      </c>
      <c r="E45" s="10" t="n">
        <v>1</v>
      </c>
    </row>
    <row r="46" customFormat="false" ht="15" hidden="false" customHeight="true" outlineLevel="0" collapsed="false">
      <c r="A46" s="9" t="s">
        <v>869</v>
      </c>
      <c r="B46" s="8" t="s">
        <v>870</v>
      </c>
      <c r="C46" s="10" t="n">
        <v>13</v>
      </c>
      <c r="D46" s="10" t="n">
        <v>0</v>
      </c>
      <c r="E46" s="10" t="n">
        <v>1</v>
      </c>
    </row>
    <row r="47" customFormat="false" ht="15" hidden="false" customHeight="true" outlineLevel="0" collapsed="false">
      <c r="A47" s="9" t="s">
        <v>871</v>
      </c>
      <c r="B47" s="8" t="s">
        <v>872</v>
      </c>
      <c r="C47" s="10" t="n">
        <v>7</v>
      </c>
      <c r="D47" s="10" t="n">
        <v>0</v>
      </c>
      <c r="E47" s="10" t="n">
        <v>1</v>
      </c>
    </row>
    <row r="48" customFormat="false" ht="15" hidden="false" customHeight="true" outlineLevel="0" collapsed="false">
      <c r="A48" s="9" t="s">
        <v>873</v>
      </c>
      <c r="B48" s="8" t="s">
        <v>874</v>
      </c>
      <c r="C48" s="10" t="n">
        <v>6</v>
      </c>
      <c r="D48" s="10" t="n">
        <v>0</v>
      </c>
      <c r="E48" s="10" t="n">
        <v>1</v>
      </c>
    </row>
    <row r="49" customFormat="false" ht="15" hidden="false" customHeight="true" outlineLevel="0" collapsed="false">
      <c r="A49" s="9" t="s">
        <v>875</v>
      </c>
      <c r="B49" s="8" t="s">
        <v>876</v>
      </c>
      <c r="C49" s="10" t="n">
        <v>4</v>
      </c>
      <c r="D49" s="10" t="n">
        <v>1</v>
      </c>
      <c r="E49" s="10" t="n">
        <v>1</v>
      </c>
    </row>
    <row r="50" customFormat="false" ht="15" hidden="false" customHeight="true" outlineLevel="0" collapsed="false">
      <c r="A50" s="9" t="s">
        <v>877</v>
      </c>
      <c r="B50" s="8" t="s">
        <v>775</v>
      </c>
      <c r="C50" s="10" t="n">
        <v>6</v>
      </c>
      <c r="D50" s="10" t="n">
        <v>0</v>
      </c>
      <c r="E50" s="10" t="n">
        <v>1</v>
      </c>
    </row>
    <row r="51" customFormat="false" ht="15" hidden="false" customHeight="true" outlineLevel="0" collapsed="false">
      <c r="A51" s="9" t="s">
        <v>878</v>
      </c>
      <c r="B51" s="8" t="s">
        <v>879</v>
      </c>
      <c r="C51" s="10" t="n">
        <v>6</v>
      </c>
      <c r="D51" s="10" t="n">
        <v>0</v>
      </c>
      <c r="E51" s="10" t="n">
        <v>1</v>
      </c>
    </row>
    <row r="52" customFormat="false" ht="15" hidden="false" customHeight="true" outlineLevel="0" collapsed="false">
      <c r="A52" s="9" t="s">
        <v>880</v>
      </c>
      <c r="B52" s="8" t="s">
        <v>881</v>
      </c>
      <c r="C52" s="10" t="n">
        <v>5</v>
      </c>
      <c r="D52" s="10" t="n">
        <v>0</v>
      </c>
      <c r="E52" s="10" t="n">
        <v>1</v>
      </c>
    </row>
    <row r="53" customFormat="false" ht="15" hidden="false" customHeight="true" outlineLevel="0" collapsed="false">
      <c r="A53" s="9" t="s">
        <v>882</v>
      </c>
      <c r="B53" s="8" t="s">
        <v>883</v>
      </c>
      <c r="C53" s="10" t="n">
        <v>7</v>
      </c>
      <c r="D53" s="10" t="n">
        <v>0</v>
      </c>
      <c r="E53" s="10" t="n">
        <v>1</v>
      </c>
    </row>
    <row r="54" customFormat="false" ht="15" hidden="false" customHeight="true" outlineLevel="0" collapsed="false">
      <c r="A54" s="9" t="s">
        <v>884</v>
      </c>
      <c r="B54" s="8" t="s">
        <v>885</v>
      </c>
      <c r="C54" s="10" t="n">
        <v>5</v>
      </c>
      <c r="D54" s="10" t="n">
        <v>0</v>
      </c>
      <c r="E54" s="10" t="n">
        <v>1</v>
      </c>
    </row>
    <row r="55" customFormat="false" ht="34.5" hidden="false" customHeight="true" outlineLevel="0" collapsed="false">
      <c r="A55" s="9" t="s">
        <v>886</v>
      </c>
      <c r="B55" s="8" t="s">
        <v>887</v>
      </c>
      <c r="C55" s="10" t="n">
        <v>8</v>
      </c>
      <c r="D55" s="10" t="n">
        <v>0</v>
      </c>
      <c r="E55" s="10" t="n">
        <v>1</v>
      </c>
    </row>
    <row r="56" customFormat="false" ht="23.25" hidden="false" customHeight="true" outlineLevel="0" collapsed="false">
      <c r="A56" s="9" t="s">
        <v>888</v>
      </c>
      <c r="B56" s="8" t="s">
        <v>889</v>
      </c>
      <c r="C56" s="10" t="n">
        <v>9</v>
      </c>
      <c r="D56" s="10" t="n">
        <v>0</v>
      </c>
      <c r="E56" s="10" t="n">
        <v>1</v>
      </c>
    </row>
    <row r="57" customFormat="false" ht="23.25" hidden="false" customHeight="true" outlineLevel="0" collapsed="false">
      <c r="A57" s="9" t="s">
        <v>890</v>
      </c>
      <c r="B57" s="8" t="s">
        <v>891</v>
      </c>
      <c r="C57" s="10" t="n">
        <v>5</v>
      </c>
      <c r="D57" s="10" t="n">
        <v>1.6</v>
      </c>
      <c r="E57" s="10" t="n">
        <v>2</v>
      </c>
    </row>
    <row r="58" customFormat="false" ht="15" hidden="false" customHeight="true" outlineLevel="0" collapsed="false">
      <c r="A58" s="9" t="s">
        <v>892</v>
      </c>
      <c r="B58" s="8" t="s">
        <v>893</v>
      </c>
      <c r="C58" s="10" t="n">
        <v>11</v>
      </c>
      <c r="D58" s="10" t="n">
        <v>0</v>
      </c>
      <c r="E58" s="10" t="n">
        <v>1</v>
      </c>
    </row>
    <row r="59" customFormat="false" ht="15" hidden="false" customHeight="true" outlineLevel="0" collapsed="false">
      <c r="A59" s="9" t="s">
        <v>894</v>
      </c>
      <c r="B59" s="8" t="s">
        <v>895</v>
      </c>
      <c r="C59" s="10" t="n">
        <v>5</v>
      </c>
      <c r="D59" s="10" t="n">
        <v>0</v>
      </c>
      <c r="E59" s="10" t="n">
        <v>1</v>
      </c>
    </row>
    <row r="60" customFormat="false" ht="23.25" hidden="false" customHeight="true" outlineLevel="0" collapsed="false">
      <c r="A60" s="9" t="s">
        <v>896</v>
      </c>
      <c r="B60" s="8" t="s">
        <v>897</v>
      </c>
      <c r="C60" s="10" t="n">
        <v>15</v>
      </c>
      <c r="D60" s="10" t="n">
        <v>0</v>
      </c>
      <c r="E60" s="10" t="n">
        <v>1</v>
      </c>
    </row>
    <row r="61" customFormat="false" ht="15" hidden="false" customHeight="true" outlineLevel="0" collapsed="false">
      <c r="A61" s="9" t="s">
        <v>898</v>
      </c>
      <c r="C61" s="7" t="n">
        <f aca="false">SUM(C26:C60)</f>
        <v>300</v>
      </c>
    </row>
    <row r="62" customFormat="false" ht="15" hidden="false" customHeight="true" outlineLevel="0" collapsed="false">
      <c r="A62" s="12" t="s">
        <v>899</v>
      </c>
    </row>
    <row r="64" customFormat="false" ht="15" hidden="false" customHeight="true" outlineLevel="0" collapsed="false">
      <c r="A64" s="23" t="s">
        <v>900</v>
      </c>
    </row>
    <row r="65" customFormat="false" ht="15" hidden="false" customHeight="true" outlineLevel="0" collapsed="false">
      <c r="A65" s="6" t="s">
        <v>810</v>
      </c>
      <c r="B65" s="6" t="s">
        <v>901</v>
      </c>
      <c r="C65" s="6" t="s">
        <v>902</v>
      </c>
      <c r="D65" s="6" t="s">
        <v>903</v>
      </c>
      <c r="E65" s="6" t="s">
        <v>904</v>
      </c>
    </row>
    <row r="66" customFormat="false" ht="15" hidden="false" customHeight="true" outlineLevel="0" collapsed="false">
      <c r="A66" s="9" t="s">
        <v>814</v>
      </c>
      <c r="B66" s="10" t="n">
        <v>1</v>
      </c>
      <c r="C66" s="10" t="n">
        <v>0</v>
      </c>
      <c r="D66" s="10" t="n">
        <v>0</v>
      </c>
      <c r="E66" s="10" t="n">
        <v>0</v>
      </c>
    </row>
    <row r="67" customFormat="false" ht="15" hidden="false" customHeight="true" outlineLevel="0" collapsed="false">
      <c r="A67" s="9" t="s">
        <v>815</v>
      </c>
      <c r="B67" s="10" t="n">
        <v>18</v>
      </c>
      <c r="C67" s="10" t="n">
        <v>16</v>
      </c>
      <c r="D67" s="10" t="n">
        <v>13</v>
      </c>
      <c r="E67" s="10" t="n">
        <v>13</v>
      </c>
    </row>
    <row r="68" customFormat="false" ht="15" hidden="false" customHeight="true" outlineLevel="0" collapsed="false">
      <c r="A68" s="9" t="s">
        <v>816</v>
      </c>
      <c r="B68" s="10" t="n">
        <v>1</v>
      </c>
      <c r="C68" s="10" t="n">
        <v>4</v>
      </c>
      <c r="D68" s="10" t="n">
        <v>7</v>
      </c>
      <c r="E68" s="10" t="n">
        <v>7</v>
      </c>
    </row>
    <row r="69" customFormat="false" ht="15" hidden="false" customHeight="true" outlineLevel="0" collapsed="false">
      <c r="A69" s="9" t="s">
        <v>817</v>
      </c>
      <c r="B69" s="10" t="n">
        <v>0</v>
      </c>
      <c r="C69" s="10" t="n">
        <v>0</v>
      </c>
      <c r="D69" s="10" t="n">
        <v>0</v>
      </c>
      <c r="E69" s="10" t="n">
        <v>0</v>
      </c>
    </row>
    <row r="70" customFormat="false" ht="15" hidden="false" customHeight="true" outlineLevel="0" collapsed="false">
      <c r="A70" s="12" t="s">
        <v>905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7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8"/>
    <col collapsed="false" customWidth="true" hidden="false" outlineLevel="0" max="3" min="3" style="1" width="60"/>
    <col collapsed="false" customWidth="true" hidden="false" outlineLevel="0" max="4" min="4" style="1" width="9"/>
    <col collapsed="false" customWidth="true" hidden="false" outlineLevel="0" max="5" min="5" style="1" width="22"/>
    <col collapsed="false" customWidth="true" hidden="false" outlineLevel="0" max="6" min="6" style="1" width="70"/>
    <col collapsed="false" customWidth="true" hidden="false" outlineLevel="0" max="7" min="7" style="1" width="22"/>
    <col collapsed="false" customWidth="true" hidden="false" outlineLevel="0" max="8" min="8" style="1" width="10"/>
    <col collapsed="false" customWidth="true" hidden="false" outlineLevel="0" max="9" min="9" style="1" width="16"/>
  </cols>
  <sheetData>
    <row r="1" customFormat="false" ht="17.25" hidden="false" customHeight="true" outlineLevel="0" collapsed="false">
      <c r="A1" s="2" t="s">
        <v>906</v>
      </c>
    </row>
    <row r="2" customFormat="false" ht="15" hidden="false" customHeight="true" outlineLevel="0" collapsed="false">
      <c r="A2" s="3" t="s">
        <v>907</v>
      </c>
    </row>
    <row r="4" customFormat="false" ht="42" hidden="false" customHeight="true" outlineLevel="0" collapsed="false">
      <c r="A4" s="6" t="s">
        <v>142</v>
      </c>
      <c r="B4" s="6" t="s">
        <v>143</v>
      </c>
      <c r="C4" s="6" t="s">
        <v>144</v>
      </c>
      <c r="D4" s="6" t="s">
        <v>146</v>
      </c>
      <c r="E4" s="6" t="s">
        <v>908</v>
      </c>
      <c r="F4" s="6" t="s">
        <v>909</v>
      </c>
      <c r="G4" s="6" t="s">
        <v>910</v>
      </c>
      <c r="H4" s="6" t="s">
        <v>561</v>
      </c>
      <c r="I4" s="6" t="s">
        <v>911</v>
      </c>
    </row>
    <row r="5" customFormat="false" ht="30" hidden="false" customHeight="true" outlineLevel="0" collapsed="false">
      <c r="A5" s="9" t="s">
        <v>193</v>
      </c>
      <c r="B5" s="10" t="n">
        <v>105</v>
      </c>
      <c r="C5" s="8" t="s">
        <v>194</v>
      </c>
      <c r="D5" s="11" t="n">
        <v>3</v>
      </c>
      <c r="E5" s="8" t="s">
        <v>912</v>
      </c>
      <c r="F5" s="8" t="s">
        <v>196</v>
      </c>
      <c r="G5" s="8" t="s">
        <v>913</v>
      </c>
      <c r="H5" s="10" t="n">
        <v>3</v>
      </c>
      <c r="I5" s="8" t="s">
        <v>798</v>
      </c>
    </row>
    <row r="6" customFormat="false" ht="42.75" hidden="false" customHeight="true" outlineLevel="0" collapsed="false">
      <c r="A6" s="9" t="s">
        <v>199</v>
      </c>
      <c r="B6" s="10" t="n">
        <v>106</v>
      </c>
      <c r="C6" s="8" t="s">
        <v>200</v>
      </c>
      <c r="D6" s="11" t="n">
        <v>3</v>
      </c>
      <c r="E6" s="8" t="s">
        <v>912</v>
      </c>
      <c r="F6" s="8" t="s">
        <v>196</v>
      </c>
      <c r="G6" s="8" t="s">
        <v>914</v>
      </c>
      <c r="H6" s="10" t="n">
        <v>3</v>
      </c>
      <c r="I6" s="8" t="s">
        <v>798</v>
      </c>
    </row>
    <row r="7" customFormat="false" ht="30" hidden="false" customHeight="true" outlineLevel="0" collapsed="false">
      <c r="A7" s="9" t="s">
        <v>201</v>
      </c>
      <c r="B7" s="10" t="n">
        <v>107</v>
      </c>
      <c r="C7" s="8" t="s">
        <v>202</v>
      </c>
      <c r="D7" s="11" t="n">
        <v>3</v>
      </c>
      <c r="E7" s="8" t="s">
        <v>912</v>
      </c>
      <c r="F7" s="8" t="s">
        <v>196</v>
      </c>
      <c r="G7" s="8" t="s">
        <v>915</v>
      </c>
      <c r="H7" s="10" t="n">
        <v>3</v>
      </c>
      <c r="I7" s="8" t="s">
        <v>798</v>
      </c>
    </row>
    <row r="8" customFormat="false" ht="42.75" hidden="false" customHeight="true" outlineLevel="0" collapsed="false">
      <c r="A8" s="9" t="s">
        <v>916</v>
      </c>
      <c r="B8" s="10" t="n">
        <v>89</v>
      </c>
      <c r="C8" s="8" t="s">
        <v>917</v>
      </c>
      <c r="D8" s="11" t="s">
        <v>58</v>
      </c>
      <c r="E8" s="8" t="s">
        <v>918</v>
      </c>
      <c r="F8" s="8" t="s">
        <v>919</v>
      </c>
      <c r="G8" s="8" t="s">
        <v>920</v>
      </c>
      <c r="H8" s="10" t="s">
        <v>58</v>
      </c>
      <c r="I8" s="8" t="s">
        <v>798</v>
      </c>
    </row>
    <row r="9" customFormat="false" ht="30" hidden="false" customHeight="true" outlineLevel="0" collapsed="false">
      <c r="A9" s="9" t="s">
        <v>921</v>
      </c>
      <c r="B9" s="10" t="n">
        <v>90</v>
      </c>
      <c r="C9" s="8" t="s">
        <v>922</v>
      </c>
      <c r="D9" s="11" t="s">
        <v>58</v>
      </c>
      <c r="E9" s="8" t="s">
        <v>918</v>
      </c>
      <c r="F9" s="8" t="s">
        <v>919</v>
      </c>
      <c r="G9" s="8" t="s">
        <v>923</v>
      </c>
      <c r="H9" s="10" t="s">
        <v>58</v>
      </c>
      <c r="I9" s="8" t="s">
        <v>798</v>
      </c>
    </row>
    <row r="10" customFormat="false" ht="30" hidden="false" customHeight="true" outlineLevel="0" collapsed="false">
      <c r="A10" s="9" t="s">
        <v>924</v>
      </c>
      <c r="B10" s="10" t="n">
        <v>91</v>
      </c>
      <c r="C10" s="8" t="s">
        <v>925</v>
      </c>
      <c r="D10" s="11" t="s">
        <v>58</v>
      </c>
      <c r="E10" s="8" t="s">
        <v>918</v>
      </c>
      <c r="F10" s="8" t="s">
        <v>919</v>
      </c>
      <c r="G10" s="8" t="s">
        <v>926</v>
      </c>
      <c r="H10" s="10" t="s">
        <v>58</v>
      </c>
      <c r="I10" s="8" t="s">
        <v>798</v>
      </c>
    </row>
    <row r="11" customFormat="false" ht="30" hidden="false" customHeight="true" outlineLevel="0" collapsed="false">
      <c r="A11" s="9" t="s">
        <v>927</v>
      </c>
      <c r="B11" s="10" t="n">
        <v>92</v>
      </c>
      <c r="C11" s="8" t="s">
        <v>928</v>
      </c>
      <c r="D11" s="11" t="s">
        <v>58</v>
      </c>
      <c r="E11" s="8" t="s">
        <v>918</v>
      </c>
      <c r="F11" s="8" t="s">
        <v>919</v>
      </c>
      <c r="G11" s="8" t="s">
        <v>929</v>
      </c>
      <c r="H11" s="10" t="s">
        <v>58</v>
      </c>
      <c r="I11" s="8" t="s">
        <v>798</v>
      </c>
    </row>
    <row r="12" customFormat="false" ht="30" hidden="false" customHeight="true" outlineLevel="0" collapsed="false">
      <c r="A12" s="9" t="s">
        <v>930</v>
      </c>
      <c r="B12" s="10" t="n">
        <v>93</v>
      </c>
      <c r="C12" s="8" t="s">
        <v>931</v>
      </c>
      <c r="D12" s="11" t="s">
        <v>58</v>
      </c>
      <c r="E12" s="8" t="s">
        <v>918</v>
      </c>
      <c r="F12" s="8" t="s">
        <v>919</v>
      </c>
      <c r="G12" s="8" t="s">
        <v>932</v>
      </c>
      <c r="H12" s="10" t="s">
        <v>58</v>
      </c>
      <c r="I12" s="8" t="s">
        <v>798</v>
      </c>
    </row>
    <row r="13" customFormat="false" ht="30" hidden="false" customHeight="true" outlineLevel="0" collapsed="false">
      <c r="A13" s="9" t="s">
        <v>933</v>
      </c>
      <c r="B13" s="10" t="n">
        <v>95</v>
      </c>
      <c r="C13" s="8" t="s">
        <v>934</v>
      </c>
      <c r="D13" s="11" t="s">
        <v>58</v>
      </c>
      <c r="E13" s="8" t="s">
        <v>918</v>
      </c>
      <c r="F13" s="8" t="s">
        <v>919</v>
      </c>
      <c r="G13" s="8" t="s">
        <v>923</v>
      </c>
      <c r="H13" s="10" t="s">
        <v>58</v>
      </c>
      <c r="I13" s="8" t="s">
        <v>798</v>
      </c>
    </row>
    <row r="14" customFormat="false" ht="30" hidden="false" customHeight="true" outlineLevel="0" collapsed="false">
      <c r="A14" s="9" t="s">
        <v>935</v>
      </c>
      <c r="B14" s="10" t="n">
        <v>97</v>
      </c>
      <c r="C14" s="8" t="s">
        <v>936</v>
      </c>
      <c r="D14" s="11" t="s">
        <v>58</v>
      </c>
      <c r="E14" s="8" t="s">
        <v>918</v>
      </c>
      <c r="F14" s="8" t="s">
        <v>919</v>
      </c>
      <c r="G14" s="8" t="s">
        <v>923</v>
      </c>
      <c r="H14" s="10" t="s">
        <v>58</v>
      </c>
      <c r="I14" s="8" t="s">
        <v>798</v>
      </c>
    </row>
    <row r="15" customFormat="false" ht="42.75" hidden="false" customHeight="true" outlineLevel="0" collapsed="false">
      <c r="A15" s="9" t="s">
        <v>937</v>
      </c>
      <c r="B15" s="10" t="n">
        <v>98</v>
      </c>
      <c r="C15" s="8" t="s">
        <v>938</v>
      </c>
      <c r="D15" s="11" t="s">
        <v>58</v>
      </c>
      <c r="E15" s="8" t="s">
        <v>918</v>
      </c>
      <c r="F15" s="8" t="s">
        <v>919</v>
      </c>
      <c r="G15" s="8" t="s">
        <v>920</v>
      </c>
      <c r="H15" s="10" t="s">
        <v>58</v>
      </c>
      <c r="I15" s="8" t="s">
        <v>798</v>
      </c>
    </row>
    <row r="16" customFormat="false" ht="30" hidden="false" customHeight="true" outlineLevel="0" collapsed="false">
      <c r="A16" s="9" t="s">
        <v>939</v>
      </c>
      <c r="B16" s="10" t="n">
        <v>99</v>
      </c>
      <c r="C16" s="8" t="s">
        <v>940</v>
      </c>
      <c r="D16" s="11" t="s">
        <v>58</v>
      </c>
      <c r="E16" s="8" t="s">
        <v>918</v>
      </c>
      <c r="F16" s="8" t="s">
        <v>919</v>
      </c>
      <c r="G16" s="8" t="s">
        <v>926</v>
      </c>
      <c r="H16" s="10" t="s">
        <v>58</v>
      </c>
      <c r="I16" s="8" t="s">
        <v>798</v>
      </c>
    </row>
    <row r="17" customFormat="false" ht="30" hidden="false" customHeight="true" outlineLevel="0" collapsed="false">
      <c r="A17" s="9" t="s">
        <v>941</v>
      </c>
      <c r="B17" s="10" t="n">
        <v>100</v>
      </c>
      <c r="C17" s="8" t="s">
        <v>942</v>
      </c>
      <c r="D17" s="11" t="s">
        <v>58</v>
      </c>
      <c r="E17" s="8" t="s">
        <v>918</v>
      </c>
      <c r="F17" s="8" t="s">
        <v>919</v>
      </c>
      <c r="G17" s="8" t="s">
        <v>943</v>
      </c>
      <c r="H17" s="10" t="s">
        <v>58</v>
      </c>
      <c r="I17" s="8" t="s">
        <v>798</v>
      </c>
    </row>
    <row r="18" customFormat="false" ht="30" hidden="false" customHeight="true" outlineLevel="0" collapsed="false">
      <c r="A18" s="9" t="s">
        <v>944</v>
      </c>
      <c r="B18" s="10" t="n">
        <v>101</v>
      </c>
      <c r="C18" s="8" t="s">
        <v>945</v>
      </c>
      <c r="D18" s="11" t="s">
        <v>58</v>
      </c>
      <c r="E18" s="8" t="s">
        <v>918</v>
      </c>
      <c r="F18" s="8" t="s">
        <v>919</v>
      </c>
      <c r="G18" s="8" t="s">
        <v>946</v>
      </c>
      <c r="H18" s="10" t="s">
        <v>58</v>
      </c>
      <c r="I18" s="8" t="s">
        <v>798</v>
      </c>
    </row>
    <row r="19" customFormat="false" ht="30" hidden="false" customHeight="true" outlineLevel="0" collapsed="false">
      <c r="A19" s="9" t="s">
        <v>947</v>
      </c>
      <c r="B19" s="10" t="n">
        <v>117</v>
      </c>
      <c r="C19" s="8" t="s">
        <v>948</v>
      </c>
      <c r="D19" s="11" t="s">
        <v>58</v>
      </c>
      <c r="E19" s="8" t="s">
        <v>918</v>
      </c>
      <c r="F19" s="8" t="s">
        <v>949</v>
      </c>
      <c r="G19" s="8" t="s">
        <v>950</v>
      </c>
      <c r="H19" s="10" t="s">
        <v>58</v>
      </c>
      <c r="I19" s="8" t="s">
        <v>115</v>
      </c>
    </row>
    <row r="20" customFormat="false" ht="30" hidden="false" customHeight="true" outlineLevel="0" collapsed="false">
      <c r="A20" s="9" t="s">
        <v>951</v>
      </c>
      <c r="B20" s="10" t="n">
        <v>118</v>
      </c>
      <c r="C20" s="8" t="s">
        <v>952</v>
      </c>
      <c r="D20" s="11" t="s">
        <v>58</v>
      </c>
      <c r="E20" s="8" t="s">
        <v>918</v>
      </c>
      <c r="F20" s="8" t="s">
        <v>949</v>
      </c>
      <c r="G20" s="8" t="s">
        <v>953</v>
      </c>
      <c r="H20" s="10" t="s">
        <v>58</v>
      </c>
      <c r="I20" s="8" t="s">
        <v>798</v>
      </c>
    </row>
    <row r="21" customFormat="false" ht="30" hidden="false" customHeight="true" outlineLevel="0" collapsed="false">
      <c r="A21" s="9" t="s">
        <v>954</v>
      </c>
      <c r="B21" s="10" t="n">
        <v>119</v>
      </c>
      <c r="C21" s="8" t="s">
        <v>955</v>
      </c>
      <c r="D21" s="11" t="s">
        <v>58</v>
      </c>
      <c r="E21" s="8" t="s">
        <v>918</v>
      </c>
      <c r="F21" s="8" t="s">
        <v>949</v>
      </c>
      <c r="G21" s="8" t="s">
        <v>953</v>
      </c>
      <c r="H21" s="10" t="s">
        <v>58</v>
      </c>
      <c r="I21" s="8" t="s">
        <v>798</v>
      </c>
    </row>
    <row r="22" customFormat="false" ht="16.5" hidden="false" customHeight="true" outlineLevel="0" collapsed="false">
      <c r="A22" s="9" t="s">
        <v>956</v>
      </c>
      <c r="B22" s="10" t="n">
        <v>120</v>
      </c>
      <c r="C22" s="8" t="s">
        <v>957</v>
      </c>
      <c r="D22" s="11" t="s">
        <v>58</v>
      </c>
      <c r="E22" s="8" t="s">
        <v>918</v>
      </c>
      <c r="F22" s="8" t="s">
        <v>949</v>
      </c>
      <c r="G22" s="8" t="s">
        <v>958</v>
      </c>
      <c r="H22" s="10" t="s">
        <v>58</v>
      </c>
      <c r="I22" s="8" t="s">
        <v>798</v>
      </c>
    </row>
    <row r="23" customFormat="false" ht="16.5" hidden="false" customHeight="true" outlineLevel="0" collapsed="false">
      <c r="A23" s="9" t="s">
        <v>959</v>
      </c>
      <c r="B23" s="10" t="n">
        <v>121</v>
      </c>
      <c r="C23" s="8" t="s">
        <v>960</v>
      </c>
      <c r="D23" s="11" t="s">
        <v>58</v>
      </c>
      <c r="E23" s="8" t="s">
        <v>918</v>
      </c>
      <c r="F23" s="8" t="s">
        <v>949</v>
      </c>
      <c r="G23" s="8" t="s">
        <v>953</v>
      </c>
      <c r="H23" s="10" t="s">
        <v>58</v>
      </c>
      <c r="I23" s="8" t="s">
        <v>798</v>
      </c>
    </row>
    <row r="24" customFormat="false" ht="30" hidden="false" customHeight="true" outlineLevel="0" collapsed="false">
      <c r="A24" s="9" t="s">
        <v>961</v>
      </c>
      <c r="B24" s="10" t="n">
        <v>122</v>
      </c>
      <c r="C24" s="8" t="s">
        <v>928</v>
      </c>
      <c r="D24" s="11" t="s">
        <v>58</v>
      </c>
      <c r="E24" s="8" t="s">
        <v>918</v>
      </c>
      <c r="F24" s="8" t="s">
        <v>949</v>
      </c>
      <c r="G24" s="8" t="s">
        <v>962</v>
      </c>
      <c r="H24" s="10" t="s">
        <v>58</v>
      </c>
      <c r="I24" s="8" t="s">
        <v>798</v>
      </c>
    </row>
    <row r="25" customFormat="false" ht="30" hidden="false" customHeight="true" outlineLevel="0" collapsed="false">
      <c r="A25" s="9" t="s">
        <v>963</v>
      </c>
      <c r="B25" s="10" t="n">
        <v>123</v>
      </c>
      <c r="C25" s="8" t="s">
        <v>964</v>
      </c>
      <c r="D25" s="11" t="s">
        <v>58</v>
      </c>
      <c r="E25" s="8" t="s">
        <v>918</v>
      </c>
      <c r="F25" s="8" t="s">
        <v>949</v>
      </c>
      <c r="G25" s="8" t="s">
        <v>958</v>
      </c>
      <c r="H25" s="10" t="s">
        <v>58</v>
      </c>
      <c r="I25" s="8" t="s">
        <v>798</v>
      </c>
    </row>
    <row r="26" customFormat="false" ht="30" hidden="false" customHeight="true" outlineLevel="0" collapsed="false">
      <c r="A26" s="9" t="s">
        <v>965</v>
      </c>
      <c r="B26" s="10" t="n">
        <v>124</v>
      </c>
      <c r="C26" s="8" t="s">
        <v>253</v>
      </c>
      <c r="D26" s="11" t="s">
        <v>58</v>
      </c>
      <c r="E26" s="8" t="s">
        <v>918</v>
      </c>
      <c r="F26" s="8" t="s">
        <v>949</v>
      </c>
      <c r="G26" s="8" t="s">
        <v>953</v>
      </c>
      <c r="H26" s="10" t="s">
        <v>58</v>
      </c>
      <c r="I26" s="8" t="s">
        <v>798</v>
      </c>
    </row>
    <row r="27" customFormat="false" ht="30" hidden="false" customHeight="true" outlineLevel="0" collapsed="false">
      <c r="A27" s="9" t="s">
        <v>966</v>
      </c>
      <c r="B27" s="10" t="n">
        <v>126</v>
      </c>
      <c r="C27" s="8" t="s">
        <v>967</v>
      </c>
      <c r="D27" s="11" t="s">
        <v>58</v>
      </c>
      <c r="E27" s="8" t="s">
        <v>918</v>
      </c>
      <c r="F27" s="8" t="s">
        <v>949</v>
      </c>
      <c r="G27" s="8" t="s">
        <v>968</v>
      </c>
      <c r="H27" s="10" t="s">
        <v>58</v>
      </c>
      <c r="I27" s="8" t="s">
        <v>798</v>
      </c>
    </row>
    <row r="28" customFormat="false" ht="30" hidden="false" customHeight="true" outlineLevel="0" collapsed="false">
      <c r="A28" s="9" t="s">
        <v>969</v>
      </c>
      <c r="B28" s="10" t="n">
        <v>127</v>
      </c>
      <c r="C28" s="8" t="s">
        <v>970</v>
      </c>
      <c r="D28" s="11" t="s">
        <v>58</v>
      </c>
      <c r="E28" s="8" t="s">
        <v>918</v>
      </c>
      <c r="F28" s="8" t="s">
        <v>949</v>
      </c>
      <c r="G28" s="8" t="s">
        <v>971</v>
      </c>
      <c r="H28" s="10" t="s">
        <v>58</v>
      </c>
      <c r="I28" s="8" t="s">
        <v>115</v>
      </c>
    </row>
    <row r="29" customFormat="false" ht="16.5" hidden="false" customHeight="true" outlineLevel="0" collapsed="false">
      <c r="A29" s="9" t="s">
        <v>972</v>
      </c>
      <c r="B29" s="10" t="n">
        <v>128</v>
      </c>
      <c r="C29" s="8" t="s">
        <v>973</v>
      </c>
      <c r="D29" s="11" t="s">
        <v>58</v>
      </c>
      <c r="E29" s="8" t="s">
        <v>918</v>
      </c>
      <c r="F29" s="8" t="s">
        <v>949</v>
      </c>
      <c r="G29" s="8" t="s">
        <v>968</v>
      </c>
      <c r="H29" s="10" t="s">
        <v>58</v>
      </c>
      <c r="I29" s="8" t="s">
        <v>798</v>
      </c>
    </row>
    <row r="30" customFormat="false" ht="30" hidden="false" customHeight="true" outlineLevel="0" collapsed="false">
      <c r="A30" s="9" t="s">
        <v>974</v>
      </c>
      <c r="B30" s="10" t="n">
        <v>191</v>
      </c>
      <c r="C30" s="8" t="s">
        <v>975</v>
      </c>
      <c r="D30" s="11" t="s">
        <v>58</v>
      </c>
      <c r="E30" s="8" t="s">
        <v>918</v>
      </c>
      <c r="F30" s="8" t="s">
        <v>976</v>
      </c>
      <c r="G30" s="8" t="s">
        <v>977</v>
      </c>
      <c r="H30" s="10" t="s">
        <v>58</v>
      </c>
      <c r="I30" s="8" t="s">
        <v>328</v>
      </c>
    </row>
    <row r="31" customFormat="false" ht="30" hidden="false" customHeight="true" outlineLevel="0" collapsed="false">
      <c r="A31" s="9" t="s">
        <v>978</v>
      </c>
      <c r="B31" s="10" t="n">
        <v>192</v>
      </c>
      <c r="C31" s="8" t="s">
        <v>979</v>
      </c>
      <c r="D31" s="11" t="s">
        <v>58</v>
      </c>
      <c r="E31" s="8" t="s">
        <v>918</v>
      </c>
      <c r="F31" s="8" t="s">
        <v>976</v>
      </c>
      <c r="G31" s="8" t="s">
        <v>858</v>
      </c>
      <c r="H31" s="10" t="s">
        <v>58</v>
      </c>
      <c r="I31" s="8" t="s">
        <v>115</v>
      </c>
    </row>
    <row r="32" customFormat="false" ht="30" hidden="false" customHeight="true" outlineLevel="0" collapsed="false">
      <c r="A32" s="9" t="s">
        <v>980</v>
      </c>
      <c r="B32" s="10" t="n">
        <v>193</v>
      </c>
      <c r="C32" s="8" t="s">
        <v>981</v>
      </c>
      <c r="D32" s="11" t="s">
        <v>58</v>
      </c>
      <c r="E32" s="8" t="s">
        <v>918</v>
      </c>
      <c r="F32" s="8" t="s">
        <v>976</v>
      </c>
      <c r="G32" s="8" t="s">
        <v>982</v>
      </c>
      <c r="H32" s="10" t="s">
        <v>58</v>
      </c>
      <c r="I32" s="8" t="s">
        <v>798</v>
      </c>
    </row>
    <row r="33" customFormat="false" ht="55.5" hidden="false" customHeight="true" outlineLevel="0" collapsed="false">
      <c r="A33" s="9" t="s">
        <v>983</v>
      </c>
      <c r="B33" s="10" t="n">
        <v>194</v>
      </c>
      <c r="C33" s="8" t="s">
        <v>984</v>
      </c>
      <c r="D33" s="11" t="s">
        <v>58</v>
      </c>
      <c r="E33" s="8" t="s">
        <v>918</v>
      </c>
      <c r="F33" s="8" t="s">
        <v>976</v>
      </c>
      <c r="G33" s="8" t="s">
        <v>985</v>
      </c>
      <c r="H33" s="10" t="s">
        <v>58</v>
      </c>
      <c r="I33" s="8" t="s">
        <v>798</v>
      </c>
    </row>
    <row r="34" customFormat="false" ht="42.75" hidden="false" customHeight="true" outlineLevel="0" collapsed="false">
      <c r="A34" s="9" t="s">
        <v>986</v>
      </c>
      <c r="B34" s="10" t="n">
        <v>195</v>
      </c>
      <c r="C34" s="8" t="s">
        <v>987</v>
      </c>
      <c r="D34" s="11" t="s">
        <v>58</v>
      </c>
      <c r="E34" s="8" t="s">
        <v>918</v>
      </c>
      <c r="F34" s="8" t="s">
        <v>976</v>
      </c>
      <c r="G34" s="8" t="s">
        <v>988</v>
      </c>
      <c r="H34" s="10" t="s">
        <v>58</v>
      </c>
      <c r="I34" s="8" t="s">
        <v>798</v>
      </c>
    </row>
    <row r="35" customFormat="false" ht="30" hidden="false" customHeight="true" outlineLevel="0" collapsed="false">
      <c r="A35" s="9" t="s">
        <v>989</v>
      </c>
      <c r="B35" s="10" t="n">
        <v>196</v>
      </c>
      <c r="C35" s="8" t="s">
        <v>990</v>
      </c>
      <c r="D35" s="11" t="s">
        <v>58</v>
      </c>
      <c r="E35" s="8" t="s">
        <v>918</v>
      </c>
      <c r="F35" s="8" t="s">
        <v>976</v>
      </c>
      <c r="G35" s="8" t="s">
        <v>991</v>
      </c>
      <c r="H35" s="10" t="s">
        <v>58</v>
      </c>
      <c r="I35" s="8" t="s">
        <v>798</v>
      </c>
    </row>
    <row r="36" customFormat="false" ht="42.75" hidden="false" customHeight="true" outlineLevel="0" collapsed="false">
      <c r="A36" s="9" t="s">
        <v>992</v>
      </c>
      <c r="B36" s="10" t="n">
        <v>213</v>
      </c>
      <c r="C36" s="8" t="s">
        <v>993</v>
      </c>
      <c r="D36" s="11" t="s">
        <v>58</v>
      </c>
      <c r="E36" s="8" t="s">
        <v>918</v>
      </c>
      <c r="F36" s="8" t="s">
        <v>994</v>
      </c>
      <c r="G36" s="8" t="s">
        <v>995</v>
      </c>
      <c r="H36" s="10" t="s">
        <v>58</v>
      </c>
      <c r="I36" s="8" t="s">
        <v>798</v>
      </c>
    </row>
    <row r="37" customFormat="false" ht="30" hidden="false" customHeight="true" outlineLevel="0" collapsed="false">
      <c r="A37" s="9" t="s">
        <v>996</v>
      </c>
      <c r="B37" s="10" t="n">
        <v>214</v>
      </c>
      <c r="C37" s="8" t="s">
        <v>997</v>
      </c>
      <c r="D37" s="11" t="s">
        <v>58</v>
      </c>
      <c r="E37" s="8" t="s">
        <v>918</v>
      </c>
      <c r="F37" s="8" t="s">
        <v>994</v>
      </c>
      <c r="G37" s="8" t="s">
        <v>998</v>
      </c>
      <c r="H37" s="10" t="s">
        <v>58</v>
      </c>
      <c r="I37" s="8" t="s">
        <v>798</v>
      </c>
    </row>
    <row r="38" customFormat="false" ht="42.75" hidden="false" customHeight="true" outlineLevel="0" collapsed="false">
      <c r="A38" s="9" t="s">
        <v>999</v>
      </c>
      <c r="B38" s="10" t="n">
        <v>215</v>
      </c>
      <c r="C38" s="8" t="s">
        <v>1000</v>
      </c>
      <c r="D38" s="11" t="s">
        <v>58</v>
      </c>
      <c r="E38" s="8" t="s">
        <v>918</v>
      </c>
      <c r="F38" s="8" t="s">
        <v>994</v>
      </c>
      <c r="G38" s="8" t="s">
        <v>1001</v>
      </c>
      <c r="H38" s="10" t="s">
        <v>58</v>
      </c>
      <c r="I38" s="8" t="s">
        <v>798</v>
      </c>
    </row>
    <row r="39" customFormat="false" ht="42.75" hidden="false" customHeight="true" outlineLevel="0" collapsed="false">
      <c r="A39" s="9" t="s">
        <v>1002</v>
      </c>
      <c r="B39" s="10" t="n">
        <v>19</v>
      </c>
      <c r="C39" s="8" t="s">
        <v>1003</v>
      </c>
      <c r="D39" s="11" t="n">
        <v>3</v>
      </c>
      <c r="E39" s="8" t="s">
        <v>1004</v>
      </c>
      <c r="F39" s="8" t="s">
        <v>279</v>
      </c>
      <c r="G39" s="8" t="s">
        <v>1005</v>
      </c>
      <c r="H39" s="10" t="n">
        <v>2</v>
      </c>
      <c r="I39" s="8" t="s">
        <v>377</v>
      </c>
    </row>
    <row r="40" customFormat="false" ht="30" hidden="false" customHeight="true" outlineLevel="0" collapsed="false">
      <c r="A40" s="9" t="s">
        <v>1006</v>
      </c>
      <c r="B40" s="10" t="n">
        <v>20</v>
      </c>
      <c r="C40" s="8" t="s">
        <v>1007</v>
      </c>
      <c r="D40" s="11" t="n">
        <v>3</v>
      </c>
      <c r="E40" s="8" t="s">
        <v>1004</v>
      </c>
      <c r="F40" s="8" t="s">
        <v>279</v>
      </c>
      <c r="G40" s="8" t="s">
        <v>1008</v>
      </c>
      <c r="H40" s="10" t="n">
        <v>2</v>
      </c>
      <c r="I40" s="8" t="s">
        <v>377</v>
      </c>
    </row>
    <row r="41" customFormat="false" ht="30" hidden="false" customHeight="true" outlineLevel="0" collapsed="false">
      <c r="A41" s="9" t="s">
        <v>1009</v>
      </c>
      <c r="B41" s="10" t="n">
        <v>21</v>
      </c>
      <c r="C41" s="8" t="s">
        <v>931</v>
      </c>
      <c r="D41" s="11" t="n">
        <v>3</v>
      </c>
      <c r="E41" s="8" t="s">
        <v>1004</v>
      </c>
      <c r="F41" s="8" t="s">
        <v>279</v>
      </c>
      <c r="G41" s="8" t="s">
        <v>1010</v>
      </c>
      <c r="H41" s="10" t="n">
        <v>2</v>
      </c>
      <c r="I41" s="8" t="s">
        <v>377</v>
      </c>
    </row>
    <row r="42" customFormat="false" ht="42.75" hidden="false" customHeight="true" outlineLevel="0" collapsed="false">
      <c r="A42" s="9" t="s">
        <v>1011</v>
      </c>
      <c r="B42" s="10" t="n">
        <v>22</v>
      </c>
      <c r="C42" s="8" t="s">
        <v>928</v>
      </c>
      <c r="D42" s="11" t="n">
        <v>3</v>
      </c>
      <c r="E42" s="8" t="s">
        <v>1004</v>
      </c>
      <c r="F42" s="8" t="s">
        <v>1012</v>
      </c>
      <c r="G42" s="8" t="s">
        <v>1013</v>
      </c>
      <c r="H42" s="10" t="n">
        <v>2</v>
      </c>
      <c r="I42" s="8" t="s">
        <v>377</v>
      </c>
    </row>
    <row r="43" customFormat="false" ht="42.75" hidden="false" customHeight="true" outlineLevel="0" collapsed="false">
      <c r="A43" s="9" t="s">
        <v>282</v>
      </c>
      <c r="B43" s="10" t="n">
        <v>34</v>
      </c>
      <c r="C43" s="8" t="s">
        <v>283</v>
      </c>
      <c r="D43" s="11" t="n">
        <v>3</v>
      </c>
      <c r="E43" s="8" t="s">
        <v>1004</v>
      </c>
      <c r="F43" s="8" t="s">
        <v>279</v>
      </c>
      <c r="G43" s="8" t="s">
        <v>1014</v>
      </c>
      <c r="H43" s="10" t="n">
        <v>3</v>
      </c>
      <c r="I43" s="8" t="s">
        <v>798</v>
      </c>
    </row>
    <row r="44" customFormat="false" ht="30" hidden="false" customHeight="true" outlineLevel="0" collapsed="false">
      <c r="A44" s="9" t="s">
        <v>284</v>
      </c>
      <c r="B44" s="10" t="n">
        <v>35</v>
      </c>
      <c r="C44" s="8" t="s">
        <v>285</v>
      </c>
      <c r="D44" s="11" t="n">
        <v>3</v>
      </c>
      <c r="E44" s="8" t="s">
        <v>1004</v>
      </c>
      <c r="F44" s="8" t="s">
        <v>279</v>
      </c>
      <c r="G44" s="8" t="s">
        <v>1015</v>
      </c>
      <c r="H44" s="10" t="n">
        <v>3</v>
      </c>
      <c r="I44" s="8" t="s">
        <v>798</v>
      </c>
    </row>
    <row r="45" customFormat="false" ht="42.75" hidden="false" customHeight="true" outlineLevel="0" collapsed="false">
      <c r="A45" s="9" t="s">
        <v>277</v>
      </c>
      <c r="B45" s="10" t="n">
        <v>42</v>
      </c>
      <c r="C45" s="8" t="s">
        <v>278</v>
      </c>
      <c r="D45" s="11" t="n">
        <v>3</v>
      </c>
      <c r="E45" s="8" t="s">
        <v>1004</v>
      </c>
      <c r="F45" s="8" t="s">
        <v>279</v>
      </c>
      <c r="G45" s="8" t="s">
        <v>1016</v>
      </c>
      <c r="H45" s="10" t="n">
        <v>3</v>
      </c>
      <c r="I45" s="8" t="s">
        <v>798</v>
      </c>
    </row>
    <row r="46" customFormat="false" ht="30" hidden="false" customHeight="true" outlineLevel="0" collapsed="false">
      <c r="A46" s="9" t="s">
        <v>280</v>
      </c>
      <c r="B46" s="10" t="n">
        <v>43</v>
      </c>
      <c r="C46" s="8" t="s">
        <v>281</v>
      </c>
      <c r="D46" s="11" t="n">
        <v>3</v>
      </c>
      <c r="E46" s="8" t="s">
        <v>1004</v>
      </c>
      <c r="F46" s="8" t="s">
        <v>279</v>
      </c>
      <c r="G46" s="8" t="s">
        <v>1017</v>
      </c>
      <c r="H46" s="10" t="n">
        <v>3</v>
      </c>
      <c r="I46" s="8" t="s">
        <v>798</v>
      </c>
    </row>
    <row r="47" customFormat="false" ht="30" hidden="false" customHeight="true" outlineLevel="0" collapsed="false">
      <c r="A47" s="9" t="s">
        <v>286</v>
      </c>
      <c r="B47" s="10" t="n">
        <v>84</v>
      </c>
      <c r="C47" s="8" t="s">
        <v>287</v>
      </c>
      <c r="D47" s="11" t="n">
        <v>3</v>
      </c>
      <c r="E47" s="8" t="s">
        <v>1004</v>
      </c>
      <c r="F47" s="8" t="s">
        <v>279</v>
      </c>
      <c r="G47" s="8" t="s">
        <v>1018</v>
      </c>
      <c r="H47" s="10" t="n">
        <v>3</v>
      </c>
      <c r="I47" s="8" t="s">
        <v>798</v>
      </c>
    </row>
    <row r="48" customFormat="false" ht="30" hidden="false" customHeight="true" outlineLevel="0" collapsed="false">
      <c r="A48" s="9" t="s">
        <v>288</v>
      </c>
      <c r="B48" s="10" t="n">
        <v>87</v>
      </c>
      <c r="C48" s="8" t="s">
        <v>289</v>
      </c>
      <c r="D48" s="11" t="n">
        <v>3</v>
      </c>
      <c r="E48" s="8" t="s">
        <v>1004</v>
      </c>
      <c r="F48" s="8" t="s">
        <v>279</v>
      </c>
      <c r="G48" s="8" t="s">
        <v>1019</v>
      </c>
      <c r="H48" s="10" t="n">
        <v>3</v>
      </c>
      <c r="I48" s="8" t="s">
        <v>423</v>
      </c>
    </row>
    <row r="49" customFormat="false" ht="42.75" hidden="false" customHeight="true" outlineLevel="0" collapsed="false">
      <c r="A49" s="9" t="s">
        <v>228</v>
      </c>
      <c r="B49" s="10" t="n">
        <v>85</v>
      </c>
      <c r="C49" s="8" t="s">
        <v>229</v>
      </c>
      <c r="D49" s="11" t="n">
        <v>3</v>
      </c>
      <c r="E49" s="8" t="s">
        <v>1020</v>
      </c>
      <c r="F49" s="8" t="s">
        <v>230</v>
      </c>
      <c r="G49" s="8" t="s">
        <v>1021</v>
      </c>
      <c r="H49" s="10" t="n">
        <v>3</v>
      </c>
      <c r="I49" s="8" t="s">
        <v>423</v>
      </c>
    </row>
    <row r="50" customFormat="false" ht="42.75" hidden="false" customHeight="true" outlineLevel="0" collapsed="false">
      <c r="A50" s="9" t="s">
        <v>1022</v>
      </c>
      <c r="B50" s="10" t="n">
        <v>6</v>
      </c>
      <c r="C50" s="8" t="s">
        <v>1023</v>
      </c>
      <c r="D50" s="11" t="n">
        <v>3</v>
      </c>
      <c r="E50" s="8" t="s">
        <v>1020</v>
      </c>
      <c r="F50" s="8" t="s">
        <v>1024</v>
      </c>
      <c r="G50" s="8" t="s">
        <v>1025</v>
      </c>
      <c r="H50" s="10" t="n">
        <v>2</v>
      </c>
      <c r="I50" s="8" t="s">
        <v>1026</v>
      </c>
    </row>
    <row r="51" customFormat="false" ht="42.75" hidden="false" customHeight="true" outlineLevel="0" collapsed="false">
      <c r="A51" s="9" t="s">
        <v>1027</v>
      </c>
      <c r="B51" s="10" t="n">
        <v>7</v>
      </c>
      <c r="C51" s="8" t="s">
        <v>1028</v>
      </c>
      <c r="D51" s="11" t="n">
        <v>3</v>
      </c>
      <c r="E51" s="8" t="s">
        <v>1020</v>
      </c>
      <c r="F51" s="8" t="s">
        <v>1029</v>
      </c>
      <c r="G51" s="8" t="s">
        <v>1030</v>
      </c>
      <c r="H51" s="10" t="n">
        <v>2</v>
      </c>
      <c r="I51" s="8" t="s">
        <v>1031</v>
      </c>
    </row>
    <row r="52" customFormat="false" ht="42.75" hidden="false" customHeight="true" outlineLevel="0" collapsed="false">
      <c r="A52" s="9" t="s">
        <v>1032</v>
      </c>
      <c r="B52" s="10" t="n">
        <v>11</v>
      </c>
      <c r="C52" s="8" t="s">
        <v>1033</v>
      </c>
      <c r="D52" s="11" t="n">
        <v>3</v>
      </c>
      <c r="E52" s="8" t="s">
        <v>1020</v>
      </c>
      <c r="F52" s="8" t="s">
        <v>1034</v>
      </c>
      <c r="G52" s="8" t="s">
        <v>1035</v>
      </c>
      <c r="H52" s="10" t="n">
        <v>2</v>
      </c>
      <c r="I52" s="8" t="s">
        <v>377</v>
      </c>
    </row>
    <row r="53" customFormat="false" ht="42.75" hidden="false" customHeight="true" outlineLevel="0" collapsed="false">
      <c r="A53" s="9" t="s">
        <v>1036</v>
      </c>
      <c r="B53" s="10" t="n">
        <v>12</v>
      </c>
      <c r="C53" s="8" t="s">
        <v>1037</v>
      </c>
      <c r="D53" s="11" t="n">
        <v>3</v>
      </c>
      <c r="E53" s="8" t="s">
        <v>1020</v>
      </c>
      <c r="F53" s="8" t="s">
        <v>1034</v>
      </c>
      <c r="G53" s="8" t="s">
        <v>1038</v>
      </c>
      <c r="H53" s="10" t="n">
        <v>2</v>
      </c>
      <c r="I53" s="8" t="s">
        <v>377</v>
      </c>
    </row>
    <row r="54" customFormat="false" ht="42.75" hidden="false" customHeight="true" outlineLevel="0" collapsed="false">
      <c r="A54" s="9" t="s">
        <v>1039</v>
      </c>
      <c r="B54" s="10" t="n">
        <v>13</v>
      </c>
      <c r="C54" s="8" t="s">
        <v>1040</v>
      </c>
      <c r="D54" s="11" t="n">
        <v>3</v>
      </c>
      <c r="E54" s="8" t="s">
        <v>1020</v>
      </c>
      <c r="F54" s="8" t="s">
        <v>1034</v>
      </c>
      <c r="G54" s="8" t="s">
        <v>1035</v>
      </c>
      <c r="H54" s="10" t="n">
        <v>2</v>
      </c>
      <c r="I54" s="8" t="s">
        <v>377</v>
      </c>
    </row>
    <row r="55" customFormat="false" ht="42.75" hidden="false" customHeight="true" outlineLevel="0" collapsed="false">
      <c r="A55" s="9" t="s">
        <v>1041</v>
      </c>
      <c r="B55" s="10" t="n">
        <v>14</v>
      </c>
      <c r="C55" s="8" t="s">
        <v>1042</v>
      </c>
      <c r="D55" s="11" t="n">
        <v>3</v>
      </c>
      <c r="E55" s="8" t="s">
        <v>1020</v>
      </c>
      <c r="F55" s="8" t="s">
        <v>1024</v>
      </c>
      <c r="G55" s="8" t="s">
        <v>1025</v>
      </c>
      <c r="H55" s="10" t="n">
        <v>2</v>
      </c>
      <c r="I55" s="8" t="s">
        <v>1026</v>
      </c>
    </row>
    <row r="56" customFormat="false" ht="42.75" hidden="false" customHeight="true" outlineLevel="0" collapsed="false">
      <c r="A56" s="9" t="s">
        <v>1043</v>
      </c>
      <c r="B56" s="10" t="n">
        <v>15</v>
      </c>
      <c r="C56" s="8" t="s">
        <v>1044</v>
      </c>
      <c r="D56" s="11" t="n">
        <v>3</v>
      </c>
      <c r="E56" s="8" t="s">
        <v>1020</v>
      </c>
      <c r="F56" s="8" t="s">
        <v>1029</v>
      </c>
      <c r="G56" s="8" t="s">
        <v>1030</v>
      </c>
      <c r="H56" s="10" t="n">
        <v>2</v>
      </c>
      <c r="I56" s="8" t="s">
        <v>1031</v>
      </c>
    </row>
    <row r="57" customFormat="false" ht="42.75" hidden="false" customHeight="true" outlineLevel="0" collapsed="false">
      <c r="A57" s="9" t="s">
        <v>1045</v>
      </c>
      <c r="B57" s="10" t="n">
        <v>18</v>
      </c>
      <c r="C57" s="8" t="s">
        <v>1046</v>
      </c>
      <c r="D57" s="11" t="n">
        <v>3</v>
      </c>
      <c r="E57" s="8" t="s">
        <v>1020</v>
      </c>
      <c r="F57" s="8" t="s">
        <v>1034</v>
      </c>
      <c r="G57" s="8" t="s">
        <v>863</v>
      </c>
      <c r="H57" s="10" t="n">
        <v>2</v>
      </c>
      <c r="I57" s="8" t="s">
        <v>377</v>
      </c>
    </row>
    <row r="58" customFormat="false" ht="42.75" hidden="false" customHeight="true" outlineLevel="0" collapsed="false">
      <c r="A58" s="9" t="s">
        <v>254</v>
      </c>
      <c r="B58" s="10" t="n">
        <v>28</v>
      </c>
      <c r="C58" s="8" t="s">
        <v>255</v>
      </c>
      <c r="D58" s="11" t="n">
        <v>3</v>
      </c>
      <c r="E58" s="8" t="s">
        <v>1047</v>
      </c>
      <c r="F58" s="8" t="s">
        <v>1048</v>
      </c>
      <c r="G58" s="8" t="s">
        <v>1049</v>
      </c>
      <c r="H58" s="10" t="n">
        <v>3</v>
      </c>
      <c r="I58" s="8" t="s">
        <v>798</v>
      </c>
    </row>
    <row r="59" customFormat="false" ht="42.75" hidden="false" customHeight="true" outlineLevel="0" collapsed="false">
      <c r="A59" s="9" t="s">
        <v>257</v>
      </c>
      <c r="B59" s="10" t="n">
        <v>29</v>
      </c>
      <c r="C59" s="8" t="s">
        <v>258</v>
      </c>
      <c r="D59" s="11" t="n">
        <v>3</v>
      </c>
      <c r="E59" s="8" t="s">
        <v>1047</v>
      </c>
      <c r="F59" s="8" t="s">
        <v>1050</v>
      </c>
      <c r="G59" s="8" t="s">
        <v>1051</v>
      </c>
      <c r="H59" s="10" t="n">
        <v>3</v>
      </c>
      <c r="I59" s="8" t="s">
        <v>798</v>
      </c>
    </row>
    <row r="60" customFormat="false" ht="42.75" hidden="false" customHeight="true" outlineLevel="0" collapsed="false">
      <c r="A60" s="9" t="s">
        <v>1052</v>
      </c>
      <c r="B60" s="10" t="n">
        <v>31</v>
      </c>
      <c r="C60" s="8" t="s">
        <v>1053</v>
      </c>
      <c r="D60" s="11" t="n">
        <v>3</v>
      </c>
      <c r="E60" s="8" t="s">
        <v>1020</v>
      </c>
      <c r="F60" s="8" t="s">
        <v>1054</v>
      </c>
      <c r="G60" s="8" t="s">
        <v>1055</v>
      </c>
      <c r="H60" s="10" t="n">
        <v>2</v>
      </c>
      <c r="I60" s="8" t="s">
        <v>1056</v>
      </c>
    </row>
    <row r="61" customFormat="false" ht="42.75" hidden="false" customHeight="true" outlineLevel="0" collapsed="false">
      <c r="A61" s="9" t="s">
        <v>264</v>
      </c>
      <c r="B61" s="10" t="n">
        <v>33</v>
      </c>
      <c r="C61" s="8" t="s">
        <v>265</v>
      </c>
      <c r="D61" s="11" t="n">
        <v>3</v>
      </c>
      <c r="E61" s="8" t="s">
        <v>1047</v>
      </c>
      <c r="F61" s="8" t="s">
        <v>1057</v>
      </c>
      <c r="G61" s="8" t="s">
        <v>1058</v>
      </c>
      <c r="H61" s="10" t="n">
        <v>3</v>
      </c>
      <c r="I61" s="8" t="s">
        <v>798</v>
      </c>
    </row>
    <row r="62" customFormat="false" ht="55.5" hidden="false" customHeight="true" outlineLevel="0" collapsed="false">
      <c r="A62" s="9" t="s">
        <v>234</v>
      </c>
      <c r="B62" s="10" t="n">
        <v>39</v>
      </c>
      <c r="C62" s="8" t="s">
        <v>235</v>
      </c>
      <c r="D62" s="11" t="n">
        <v>3</v>
      </c>
      <c r="E62" s="8" t="s">
        <v>1047</v>
      </c>
      <c r="F62" s="8" t="s">
        <v>1059</v>
      </c>
      <c r="G62" s="8" t="s">
        <v>1060</v>
      </c>
      <c r="H62" s="10" t="n">
        <v>3</v>
      </c>
      <c r="I62" s="8" t="s">
        <v>798</v>
      </c>
    </row>
    <row r="63" customFormat="false" ht="42.75" hidden="false" customHeight="true" outlineLevel="0" collapsed="false">
      <c r="A63" s="9" t="s">
        <v>241</v>
      </c>
      <c r="B63" s="10" t="n">
        <v>44</v>
      </c>
      <c r="C63" s="8" t="s">
        <v>242</v>
      </c>
      <c r="D63" s="11" t="n">
        <v>3</v>
      </c>
      <c r="E63" s="8" t="s">
        <v>1047</v>
      </c>
      <c r="F63" s="8" t="s">
        <v>1061</v>
      </c>
      <c r="G63" s="8" t="s">
        <v>1062</v>
      </c>
      <c r="H63" s="10" t="n">
        <v>3</v>
      </c>
      <c r="I63" s="8" t="s">
        <v>798</v>
      </c>
    </row>
    <row r="64" customFormat="false" ht="55.5" hidden="false" customHeight="true" outlineLevel="0" collapsed="false">
      <c r="A64" s="9" t="s">
        <v>1063</v>
      </c>
      <c r="B64" s="10" t="n">
        <v>72</v>
      </c>
      <c r="C64" s="8" t="s">
        <v>1064</v>
      </c>
      <c r="D64" s="11" t="n">
        <v>3</v>
      </c>
      <c r="E64" s="8" t="s">
        <v>1020</v>
      </c>
      <c r="F64" s="8" t="s">
        <v>1054</v>
      </c>
      <c r="G64" s="8" t="s">
        <v>1065</v>
      </c>
      <c r="H64" s="10" t="n">
        <v>2</v>
      </c>
      <c r="I64" s="8" t="s">
        <v>1066</v>
      </c>
    </row>
    <row r="65" customFormat="false" ht="55.5" hidden="false" customHeight="true" outlineLevel="0" collapsed="false">
      <c r="A65" s="9" t="s">
        <v>214</v>
      </c>
      <c r="B65" s="10" t="n">
        <v>73</v>
      </c>
      <c r="C65" s="8" t="s">
        <v>215</v>
      </c>
      <c r="D65" s="11" t="n">
        <v>3</v>
      </c>
      <c r="E65" s="8" t="s">
        <v>1020</v>
      </c>
      <c r="F65" s="8" t="s">
        <v>216</v>
      </c>
      <c r="G65" s="8" t="s">
        <v>1067</v>
      </c>
      <c r="H65" s="10" t="n">
        <v>3</v>
      </c>
      <c r="I65" s="8" t="s">
        <v>1068</v>
      </c>
    </row>
    <row r="66" customFormat="false" ht="55.5" hidden="false" customHeight="true" outlineLevel="0" collapsed="false">
      <c r="A66" s="9" t="s">
        <v>217</v>
      </c>
      <c r="B66" s="10" t="n">
        <v>74</v>
      </c>
      <c r="C66" s="8" t="s">
        <v>218</v>
      </c>
      <c r="D66" s="11" t="n">
        <v>3</v>
      </c>
      <c r="E66" s="8" t="s">
        <v>1020</v>
      </c>
      <c r="F66" s="8" t="s">
        <v>219</v>
      </c>
      <c r="G66" s="8" t="s">
        <v>1069</v>
      </c>
      <c r="H66" s="10" t="n">
        <v>3</v>
      </c>
      <c r="I66" s="8" t="s">
        <v>423</v>
      </c>
    </row>
    <row r="67" customFormat="false" ht="55.5" hidden="false" customHeight="true" outlineLevel="0" collapsed="false">
      <c r="A67" s="9" t="s">
        <v>220</v>
      </c>
      <c r="B67" s="10" t="n">
        <v>75</v>
      </c>
      <c r="C67" s="8" t="s">
        <v>221</v>
      </c>
      <c r="D67" s="11" t="n">
        <v>3</v>
      </c>
      <c r="E67" s="8" t="s">
        <v>1020</v>
      </c>
      <c r="F67" s="8" t="s">
        <v>219</v>
      </c>
      <c r="G67" s="8" t="s">
        <v>1070</v>
      </c>
      <c r="H67" s="10" t="n">
        <v>3</v>
      </c>
      <c r="I67" s="8" t="s">
        <v>423</v>
      </c>
    </row>
    <row r="68" customFormat="false" ht="55.5" hidden="false" customHeight="true" outlineLevel="0" collapsed="false">
      <c r="A68" s="9" t="s">
        <v>222</v>
      </c>
      <c r="B68" s="10" t="n">
        <v>82</v>
      </c>
      <c r="C68" s="8" t="s">
        <v>223</v>
      </c>
      <c r="D68" s="11" t="n">
        <v>3</v>
      </c>
      <c r="E68" s="8" t="s">
        <v>1020</v>
      </c>
      <c r="F68" s="8" t="s">
        <v>224</v>
      </c>
      <c r="G68" s="8" t="s">
        <v>836</v>
      </c>
      <c r="H68" s="10" t="n">
        <v>3</v>
      </c>
      <c r="I68" s="8" t="s">
        <v>364</v>
      </c>
    </row>
    <row r="69" customFormat="false" ht="55.5" hidden="false" customHeight="true" outlineLevel="0" collapsed="false">
      <c r="A69" s="9" t="s">
        <v>225</v>
      </c>
      <c r="B69" s="10" t="n">
        <v>83</v>
      </c>
      <c r="C69" s="8" t="s">
        <v>226</v>
      </c>
      <c r="D69" s="11" t="n">
        <v>3</v>
      </c>
      <c r="E69" s="8" t="s">
        <v>1020</v>
      </c>
      <c r="F69" s="8" t="s">
        <v>227</v>
      </c>
      <c r="G69" s="8" t="s">
        <v>861</v>
      </c>
      <c r="H69" s="10" t="n">
        <v>3</v>
      </c>
      <c r="I69" s="8" t="s">
        <v>364</v>
      </c>
    </row>
    <row r="70" customFormat="false" ht="30" hidden="false" customHeight="true" outlineLevel="0" collapsed="false">
      <c r="A70" s="9" t="s">
        <v>1071</v>
      </c>
      <c r="B70" s="10" t="n">
        <v>136</v>
      </c>
      <c r="C70" s="8" t="s">
        <v>1072</v>
      </c>
      <c r="D70" s="11" t="n">
        <v>3</v>
      </c>
      <c r="E70" s="8" t="s">
        <v>1020</v>
      </c>
      <c r="F70" s="8" t="s">
        <v>1073</v>
      </c>
      <c r="G70" s="8" t="s">
        <v>865</v>
      </c>
      <c r="H70" s="10" t="n">
        <v>2</v>
      </c>
      <c r="I70" s="8" t="s">
        <v>389</v>
      </c>
    </row>
    <row r="71" customFormat="false" ht="42.75" hidden="false" customHeight="true" outlineLevel="0" collapsed="false">
      <c r="A71" s="9" t="s">
        <v>1074</v>
      </c>
      <c r="B71" s="10" t="n">
        <v>137</v>
      </c>
      <c r="C71" s="8" t="s">
        <v>1075</v>
      </c>
      <c r="D71" s="11" t="n">
        <v>3</v>
      </c>
      <c r="E71" s="8" t="s">
        <v>1020</v>
      </c>
      <c r="F71" s="8" t="s">
        <v>1076</v>
      </c>
      <c r="G71" s="8" t="s">
        <v>1077</v>
      </c>
      <c r="H71" s="10" t="n">
        <v>2</v>
      </c>
      <c r="I71" s="8" t="s">
        <v>1078</v>
      </c>
    </row>
    <row r="72" customFormat="false" ht="55.5" hidden="false" customHeight="true" outlineLevel="0" collapsed="false">
      <c r="A72" s="9" t="s">
        <v>231</v>
      </c>
      <c r="B72" s="10" t="n">
        <v>140</v>
      </c>
      <c r="C72" s="8" t="s">
        <v>232</v>
      </c>
      <c r="D72" s="11" t="n">
        <v>3</v>
      </c>
      <c r="E72" s="8" t="s">
        <v>1020</v>
      </c>
      <c r="F72" s="8" t="s">
        <v>233</v>
      </c>
      <c r="G72" s="8" t="s">
        <v>1079</v>
      </c>
      <c r="H72" s="10" t="n">
        <v>3</v>
      </c>
      <c r="I72" s="8" t="s">
        <v>648</v>
      </c>
    </row>
    <row r="73" customFormat="false" ht="55.5" hidden="false" customHeight="true" outlineLevel="0" collapsed="false">
      <c r="A73" s="9" t="s">
        <v>203</v>
      </c>
      <c r="B73" s="10" t="n">
        <v>109</v>
      </c>
      <c r="C73" s="8" t="s">
        <v>204</v>
      </c>
      <c r="D73" s="11" t="n">
        <v>3</v>
      </c>
      <c r="E73" s="8" t="s">
        <v>1020</v>
      </c>
      <c r="F73" s="8" t="s">
        <v>206</v>
      </c>
      <c r="G73" s="8" t="s">
        <v>888</v>
      </c>
      <c r="H73" s="10" t="n">
        <v>3</v>
      </c>
      <c r="I73" s="8" t="s">
        <v>135</v>
      </c>
    </row>
    <row r="74" customFormat="false" ht="55.5" hidden="false" customHeight="true" outlineLevel="0" collapsed="false">
      <c r="A74" s="9" t="s">
        <v>208</v>
      </c>
      <c r="B74" s="10" t="n">
        <v>111</v>
      </c>
      <c r="C74" s="8" t="s">
        <v>209</v>
      </c>
      <c r="D74" s="11" t="n">
        <v>3</v>
      </c>
      <c r="E74" s="8" t="s">
        <v>1020</v>
      </c>
      <c r="F74" s="8" t="s">
        <v>210</v>
      </c>
      <c r="G74" s="8" t="s">
        <v>836</v>
      </c>
      <c r="H74" s="10" t="n">
        <v>3</v>
      </c>
      <c r="I74" s="8" t="s">
        <v>364</v>
      </c>
    </row>
    <row r="75" customFormat="false" ht="55.5" hidden="false" customHeight="true" outlineLevel="0" collapsed="false">
      <c r="A75" s="9" t="s">
        <v>211</v>
      </c>
      <c r="B75" s="10" t="n">
        <v>40</v>
      </c>
      <c r="C75" s="8" t="s">
        <v>212</v>
      </c>
      <c r="D75" s="11" t="n">
        <v>3</v>
      </c>
      <c r="E75" s="8" t="s">
        <v>1020</v>
      </c>
      <c r="F75" s="8" t="s">
        <v>213</v>
      </c>
      <c r="G75" s="8" t="s">
        <v>875</v>
      </c>
      <c r="H75" s="10" t="n">
        <v>3</v>
      </c>
      <c r="I75" s="8" t="s">
        <v>480</v>
      </c>
    </row>
    <row r="76" customFormat="false" ht="42.75" hidden="false" customHeight="true" outlineLevel="0" collapsed="false">
      <c r="A76" s="9" t="s">
        <v>1080</v>
      </c>
      <c r="B76" s="10" t="n">
        <v>198</v>
      </c>
      <c r="C76" s="8" t="s">
        <v>1081</v>
      </c>
      <c r="D76" s="11" t="n">
        <v>3</v>
      </c>
      <c r="E76" s="8" t="s">
        <v>1020</v>
      </c>
      <c r="F76" s="8" t="s">
        <v>1082</v>
      </c>
      <c r="G76" s="8" t="s">
        <v>1083</v>
      </c>
      <c r="H76" s="10" t="n">
        <v>2</v>
      </c>
      <c r="I76" s="8" t="s">
        <v>629</v>
      </c>
    </row>
    <row r="77" customFormat="false" ht="55.5" hidden="false" customHeight="true" outlineLevel="0" collapsed="false">
      <c r="A77" s="9" t="s">
        <v>244</v>
      </c>
      <c r="B77" s="10" t="n">
        <v>10</v>
      </c>
      <c r="C77" s="8" t="s">
        <v>245</v>
      </c>
      <c r="D77" s="11" t="n">
        <v>3</v>
      </c>
      <c r="E77" s="8" t="s">
        <v>1047</v>
      </c>
      <c r="F77" s="8" t="s">
        <v>1084</v>
      </c>
      <c r="G77" s="8" t="s">
        <v>1085</v>
      </c>
      <c r="H77" s="10" t="n">
        <v>3</v>
      </c>
      <c r="I77" s="8" t="s">
        <v>798</v>
      </c>
    </row>
    <row r="78" customFormat="false" ht="55.5" hidden="false" customHeight="true" outlineLevel="0" collapsed="false">
      <c r="A78" s="9" t="s">
        <v>246</v>
      </c>
      <c r="B78" s="10" t="n">
        <v>16</v>
      </c>
      <c r="C78" s="8" t="s">
        <v>247</v>
      </c>
      <c r="D78" s="11" t="n">
        <v>3</v>
      </c>
      <c r="E78" s="8" t="s">
        <v>1047</v>
      </c>
      <c r="F78" s="8" t="s">
        <v>1084</v>
      </c>
      <c r="G78" s="8" t="s">
        <v>1086</v>
      </c>
      <c r="H78" s="10" t="n">
        <v>3</v>
      </c>
      <c r="I78" s="8" t="s">
        <v>798</v>
      </c>
    </row>
    <row r="79" customFormat="false" ht="55.5" hidden="false" customHeight="true" outlineLevel="0" collapsed="false">
      <c r="A79" s="9" t="s">
        <v>248</v>
      </c>
      <c r="B79" s="10" t="n">
        <v>17</v>
      </c>
      <c r="C79" s="8" t="s">
        <v>249</v>
      </c>
      <c r="D79" s="11" t="n">
        <v>3</v>
      </c>
      <c r="E79" s="8" t="s">
        <v>1047</v>
      </c>
      <c r="F79" s="8" t="s">
        <v>1084</v>
      </c>
      <c r="G79" s="8" t="s">
        <v>1087</v>
      </c>
      <c r="H79" s="10" t="n">
        <v>3</v>
      </c>
      <c r="I79" s="8" t="s">
        <v>798</v>
      </c>
    </row>
    <row r="80" customFormat="false" ht="55.5" hidden="false" customHeight="true" outlineLevel="0" collapsed="false">
      <c r="A80" s="9" t="s">
        <v>250</v>
      </c>
      <c r="B80" s="10" t="n">
        <v>23</v>
      </c>
      <c r="C80" s="8" t="s">
        <v>251</v>
      </c>
      <c r="D80" s="11" t="n">
        <v>3</v>
      </c>
      <c r="E80" s="8" t="s">
        <v>1047</v>
      </c>
      <c r="F80" s="8" t="s">
        <v>1084</v>
      </c>
      <c r="G80" s="8" t="s">
        <v>1085</v>
      </c>
      <c r="H80" s="10" t="n">
        <v>3</v>
      </c>
      <c r="I80" s="8" t="s">
        <v>798</v>
      </c>
    </row>
    <row r="81" customFormat="false" ht="55.5" hidden="false" customHeight="true" outlineLevel="0" collapsed="false">
      <c r="A81" s="9" t="s">
        <v>252</v>
      </c>
      <c r="B81" s="10" t="n">
        <v>24</v>
      </c>
      <c r="C81" s="8" t="s">
        <v>253</v>
      </c>
      <c r="D81" s="11" t="n">
        <v>3</v>
      </c>
      <c r="E81" s="8" t="s">
        <v>1047</v>
      </c>
      <c r="F81" s="8" t="s">
        <v>1084</v>
      </c>
      <c r="G81" s="8" t="s">
        <v>1085</v>
      </c>
      <c r="H81" s="10" t="n">
        <v>3</v>
      </c>
      <c r="I81" s="8" t="s">
        <v>798</v>
      </c>
    </row>
    <row r="82" customFormat="false" ht="55.5" hidden="false" customHeight="true" outlineLevel="0" collapsed="false">
      <c r="A82" s="9" t="s">
        <v>260</v>
      </c>
      <c r="B82" s="10" t="n">
        <v>30</v>
      </c>
      <c r="C82" s="8" t="s">
        <v>261</v>
      </c>
      <c r="D82" s="11" t="n">
        <v>3</v>
      </c>
      <c r="E82" s="8" t="s">
        <v>1047</v>
      </c>
      <c r="F82" s="8" t="s">
        <v>1084</v>
      </c>
      <c r="G82" s="8" t="s">
        <v>1088</v>
      </c>
      <c r="H82" s="10" t="n">
        <v>3</v>
      </c>
      <c r="I82" s="8" t="s">
        <v>480</v>
      </c>
    </row>
    <row r="83" customFormat="false" ht="55.5" hidden="false" customHeight="true" outlineLevel="0" collapsed="false">
      <c r="A83" s="9" t="s">
        <v>262</v>
      </c>
      <c r="B83" s="10" t="n">
        <v>32</v>
      </c>
      <c r="C83" s="8" t="s">
        <v>263</v>
      </c>
      <c r="D83" s="11" t="n">
        <v>3</v>
      </c>
      <c r="E83" s="8" t="s">
        <v>1047</v>
      </c>
      <c r="F83" s="8" t="s">
        <v>1084</v>
      </c>
      <c r="G83" s="8" t="s">
        <v>1089</v>
      </c>
      <c r="H83" s="10" t="n">
        <v>3</v>
      </c>
      <c r="I83" s="8" t="s">
        <v>798</v>
      </c>
    </row>
    <row r="84" customFormat="false" ht="55.5" hidden="false" customHeight="true" outlineLevel="0" collapsed="false">
      <c r="A84" s="9" t="s">
        <v>238</v>
      </c>
      <c r="B84" s="10" t="n">
        <v>41</v>
      </c>
      <c r="C84" s="8" t="s">
        <v>239</v>
      </c>
      <c r="D84" s="11" t="n">
        <v>3</v>
      </c>
      <c r="E84" s="8" t="s">
        <v>1047</v>
      </c>
      <c r="F84" s="8" t="s">
        <v>1084</v>
      </c>
      <c r="G84" s="8" t="s">
        <v>1090</v>
      </c>
      <c r="H84" s="10" t="n">
        <v>3</v>
      </c>
      <c r="I84" s="8" t="s">
        <v>798</v>
      </c>
    </row>
    <row r="85" customFormat="false" ht="55.5" hidden="false" customHeight="true" outlineLevel="0" collapsed="false">
      <c r="A85" s="9" t="s">
        <v>267</v>
      </c>
      <c r="B85" s="10" t="n">
        <v>81</v>
      </c>
      <c r="C85" s="8" t="s">
        <v>268</v>
      </c>
      <c r="D85" s="11" t="n">
        <v>3</v>
      </c>
      <c r="E85" s="8" t="s">
        <v>1047</v>
      </c>
      <c r="F85" s="8" t="s">
        <v>1084</v>
      </c>
      <c r="G85" s="8" t="s">
        <v>1090</v>
      </c>
      <c r="H85" s="10" t="n">
        <v>3</v>
      </c>
      <c r="I85" s="8" t="s">
        <v>798</v>
      </c>
    </row>
    <row r="86" customFormat="false" ht="55.5" hidden="false" customHeight="true" outlineLevel="0" collapsed="false">
      <c r="A86" s="9" t="s">
        <v>1091</v>
      </c>
      <c r="B86" s="10" t="n">
        <v>103</v>
      </c>
      <c r="C86" s="8" t="s">
        <v>1092</v>
      </c>
      <c r="D86" s="11" t="n">
        <v>3</v>
      </c>
      <c r="E86" s="8" t="s">
        <v>1047</v>
      </c>
      <c r="F86" s="8" t="s">
        <v>1084</v>
      </c>
      <c r="G86" s="8" t="s">
        <v>888</v>
      </c>
      <c r="H86" s="10" t="n">
        <v>2</v>
      </c>
      <c r="I86" s="8" t="s">
        <v>135</v>
      </c>
    </row>
    <row r="87" customFormat="false" ht="55.5" hidden="false" customHeight="true" outlineLevel="0" collapsed="false">
      <c r="A87" s="9" t="s">
        <v>271</v>
      </c>
      <c r="B87" s="10" t="n">
        <v>138</v>
      </c>
      <c r="C87" s="8" t="s">
        <v>272</v>
      </c>
      <c r="D87" s="11" t="n">
        <v>3</v>
      </c>
      <c r="E87" s="8" t="s">
        <v>1047</v>
      </c>
      <c r="F87" s="8" t="s">
        <v>1084</v>
      </c>
      <c r="G87" s="8" t="s">
        <v>1086</v>
      </c>
      <c r="H87" s="10" t="n">
        <v>3</v>
      </c>
      <c r="I87" s="8" t="s">
        <v>798</v>
      </c>
    </row>
    <row r="88" customFormat="false" ht="55.5" hidden="false" customHeight="true" outlineLevel="0" collapsed="false">
      <c r="A88" s="9" t="s">
        <v>273</v>
      </c>
      <c r="B88" s="10" t="n">
        <v>141</v>
      </c>
      <c r="C88" s="8" t="s">
        <v>274</v>
      </c>
      <c r="D88" s="11" t="n">
        <v>3</v>
      </c>
      <c r="E88" s="8" t="s">
        <v>1047</v>
      </c>
      <c r="F88" s="8" t="s">
        <v>1084</v>
      </c>
      <c r="G88" s="8" t="s">
        <v>1093</v>
      </c>
      <c r="H88" s="10" t="n">
        <v>3</v>
      </c>
      <c r="I88" s="8" t="s">
        <v>798</v>
      </c>
    </row>
    <row r="89" customFormat="false" ht="55.5" hidden="false" customHeight="true" outlineLevel="0" collapsed="false">
      <c r="A89" s="9" t="s">
        <v>275</v>
      </c>
      <c r="B89" s="10" t="n">
        <v>142</v>
      </c>
      <c r="C89" s="8" t="s">
        <v>276</v>
      </c>
      <c r="D89" s="11" t="n">
        <v>3</v>
      </c>
      <c r="E89" s="8" t="s">
        <v>1047</v>
      </c>
      <c r="F89" s="8" t="s">
        <v>1084</v>
      </c>
      <c r="G89" s="8" t="s">
        <v>1094</v>
      </c>
      <c r="H89" s="10" t="n">
        <v>3</v>
      </c>
      <c r="I89" s="8" t="s">
        <v>798</v>
      </c>
    </row>
    <row r="90" customFormat="false" ht="55.5" hidden="false" customHeight="true" outlineLevel="0" collapsed="false">
      <c r="A90" s="9" t="s">
        <v>269</v>
      </c>
      <c r="B90" s="10" t="n">
        <v>145</v>
      </c>
      <c r="C90" s="8" t="s">
        <v>186</v>
      </c>
      <c r="D90" s="11" t="n">
        <v>3</v>
      </c>
      <c r="E90" s="8" t="s">
        <v>1047</v>
      </c>
      <c r="F90" s="8" t="s">
        <v>1084</v>
      </c>
      <c r="G90" s="8" t="s">
        <v>1095</v>
      </c>
      <c r="H90" s="10" t="n">
        <v>3</v>
      </c>
      <c r="I90" s="8" t="s">
        <v>798</v>
      </c>
    </row>
    <row r="91" customFormat="false" ht="55.5" hidden="false" customHeight="true" outlineLevel="0" collapsed="false">
      <c r="A91" s="9" t="s">
        <v>270</v>
      </c>
      <c r="B91" s="10" t="n">
        <v>146</v>
      </c>
      <c r="C91" s="8" t="s">
        <v>268</v>
      </c>
      <c r="D91" s="11" t="n">
        <v>3</v>
      </c>
      <c r="E91" s="8" t="s">
        <v>1047</v>
      </c>
      <c r="F91" s="8" t="s">
        <v>1084</v>
      </c>
      <c r="G91" s="8" t="s">
        <v>1090</v>
      </c>
      <c r="H91" s="10" t="n">
        <v>3</v>
      </c>
      <c r="I91" s="8" t="s">
        <v>798</v>
      </c>
    </row>
    <row r="92" customFormat="false" ht="42.75" hidden="false" customHeight="true" outlineLevel="0" collapsed="false">
      <c r="A92" s="9" t="s">
        <v>1096</v>
      </c>
      <c r="B92" s="10" t="n">
        <v>46</v>
      </c>
      <c r="C92" s="8" t="s">
        <v>1097</v>
      </c>
      <c r="D92" s="11" t="n">
        <v>2</v>
      </c>
      <c r="E92" s="8" t="s">
        <v>1098</v>
      </c>
      <c r="F92" s="8" t="s">
        <v>1099</v>
      </c>
      <c r="G92" s="8" t="s">
        <v>1100</v>
      </c>
      <c r="H92" s="10" t="n">
        <v>2</v>
      </c>
      <c r="I92" s="8" t="s">
        <v>1026</v>
      </c>
    </row>
    <row r="93" customFormat="false" ht="42.75" hidden="false" customHeight="true" outlineLevel="0" collapsed="false">
      <c r="A93" s="9" t="s">
        <v>1101</v>
      </c>
      <c r="B93" s="10" t="n">
        <v>47</v>
      </c>
      <c r="C93" s="8" t="s">
        <v>1102</v>
      </c>
      <c r="D93" s="11" t="n">
        <v>2</v>
      </c>
      <c r="E93" s="8" t="s">
        <v>1098</v>
      </c>
      <c r="F93" s="8" t="s">
        <v>1099</v>
      </c>
      <c r="G93" s="8" t="s">
        <v>1030</v>
      </c>
      <c r="H93" s="10" t="n">
        <v>2</v>
      </c>
      <c r="I93" s="8" t="s">
        <v>1031</v>
      </c>
    </row>
    <row r="94" customFormat="false" ht="42.75" hidden="false" customHeight="true" outlineLevel="0" collapsed="false">
      <c r="A94" s="9" t="s">
        <v>1103</v>
      </c>
      <c r="B94" s="10" t="n">
        <v>48</v>
      </c>
      <c r="C94" s="8" t="s">
        <v>1104</v>
      </c>
      <c r="D94" s="11" t="n">
        <v>2</v>
      </c>
      <c r="E94" s="8" t="s">
        <v>1098</v>
      </c>
      <c r="F94" s="8" t="s">
        <v>1099</v>
      </c>
      <c r="G94" s="8" t="s">
        <v>1105</v>
      </c>
      <c r="H94" s="10" t="n">
        <v>2</v>
      </c>
      <c r="I94" s="8" t="s">
        <v>377</v>
      </c>
    </row>
    <row r="95" customFormat="false" ht="42.75" hidden="false" customHeight="true" outlineLevel="0" collapsed="false">
      <c r="A95" s="9" t="s">
        <v>1106</v>
      </c>
      <c r="B95" s="10" t="n">
        <v>49</v>
      </c>
      <c r="C95" s="8" t="s">
        <v>1107</v>
      </c>
      <c r="D95" s="11" t="n">
        <v>2</v>
      </c>
      <c r="E95" s="8" t="s">
        <v>1098</v>
      </c>
      <c r="F95" s="8" t="s">
        <v>1099</v>
      </c>
      <c r="G95" s="8" t="s">
        <v>1108</v>
      </c>
      <c r="H95" s="10" t="n">
        <v>2</v>
      </c>
      <c r="I95" s="8" t="s">
        <v>377</v>
      </c>
    </row>
    <row r="96" customFormat="false" ht="30" hidden="false" customHeight="true" outlineLevel="0" collapsed="false">
      <c r="A96" s="9" t="s">
        <v>1109</v>
      </c>
      <c r="B96" s="10" t="n">
        <v>51</v>
      </c>
      <c r="C96" s="8" t="s">
        <v>1110</v>
      </c>
      <c r="D96" s="11" t="n">
        <v>2</v>
      </c>
      <c r="E96" s="8" t="s">
        <v>1098</v>
      </c>
      <c r="F96" s="8" t="s">
        <v>1099</v>
      </c>
      <c r="G96" s="8" t="s">
        <v>858</v>
      </c>
      <c r="H96" s="10" t="n">
        <v>2</v>
      </c>
      <c r="I96" s="8" t="s">
        <v>115</v>
      </c>
    </row>
    <row r="97" customFormat="false" ht="42.75" hidden="false" customHeight="true" outlineLevel="0" collapsed="false">
      <c r="A97" s="9" t="s">
        <v>1111</v>
      </c>
      <c r="B97" s="10" t="n">
        <v>52</v>
      </c>
      <c r="C97" s="8" t="s">
        <v>245</v>
      </c>
      <c r="D97" s="11" t="n">
        <v>2</v>
      </c>
      <c r="E97" s="8" t="s">
        <v>1098</v>
      </c>
      <c r="F97" s="8" t="s">
        <v>1099</v>
      </c>
      <c r="G97" s="8" t="s">
        <v>1085</v>
      </c>
      <c r="H97" s="10" t="n">
        <v>2</v>
      </c>
      <c r="I97" s="8" t="s">
        <v>798</v>
      </c>
    </row>
    <row r="98" customFormat="false" ht="42.75" hidden="false" customHeight="true" outlineLevel="0" collapsed="false">
      <c r="A98" s="9" t="s">
        <v>1112</v>
      </c>
      <c r="B98" s="10" t="n">
        <v>53</v>
      </c>
      <c r="C98" s="8" t="s">
        <v>1113</v>
      </c>
      <c r="D98" s="11" t="n">
        <v>2</v>
      </c>
      <c r="E98" s="8" t="s">
        <v>1098</v>
      </c>
      <c r="F98" s="8" t="s">
        <v>1099</v>
      </c>
      <c r="G98" s="8" t="s">
        <v>1108</v>
      </c>
      <c r="H98" s="10" t="n">
        <v>2</v>
      </c>
      <c r="I98" s="8" t="s">
        <v>377</v>
      </c>
    </row>
    <row r="99" customFormat="false" ht="16.5" hidden="false" customHeight="true" outlineLevel="0" collapsed="false">
      <c r="A99" s="9" t="s">
        <v>1114</v>
      </c>
      <c r="B99" s="10" t="n">
        <v>54</v>
      </c>
      <c r="C99" s="8" t="s">
        <v>1115</v>
      </c>
      <c r="D99" s="11" t="n">
        <v>2</v>
      </c>
      <c r="E99" s="8" t="s">
        <v>1098</v>
      </c>
      <c r="F99" s="8" t="s">
        <v>1099</v>
      </c>
      <c r="G99" s="8" t="s">
        <v>1086</v>
      </c>
      <c r="H99" s="10" t="n">
        <v>2</v>
      </c>
      <c r="I99" s="8" t="s">
        <v>798</v>
      </c>
    </row>
    <row r="100" customFormat="false" ht="30" hidden="false" customHeight="true" outlineLevel="0" collapsed="false">
      <c r="A100" s="9" t="s">
        <v>1116</v>
      </c>
      <c r="B100" s="10" t="n">
        <v>55</v>
      </c>
      <c r="C100" s="8" t="s">
        <v>955</v>
      </c>
      <c r="D100" s="11" t="n">
        <v>2</v>
      </c>
      <c r="E100" s="8" t="s">
        <v>1098</v>
      </c>
      <c r="F100" s="8" t="s">
        <v>1099</v>
      </c>
      <c r="G100" s="8" t="s">
        <v>1087</v>
      </c>
      <c r="H100" s="10" t="n">
        <v>2</v>
      </c>
      <c r="I100" s="8" t="s">
        <v>798</v>
      </c>
    </row>
    <row r="101" customFormat="false" ht="16.5" hidden="false" customHeight="true" outlineLevel="0" collapsed="false">
      <c r="A101" s="9" t="s">
        <v>1117</v>
      </c>
      <c r="B101" s="10" t="n">
        <v>56</v>
      </c>
      <c r="C101" s="8" t="s">
        <v>1118</v>
      </c>
      <c r="D101" s="11" t="n">
        <v>2</v>
      </c>
      <c r="E101" s="8" t="s">
        <v>1098</v>
      </c>
      <c r="F101" s="8" t="s">
        <v>1099</v>
      </c>
      <c r="G101" s="8" t="s">
        <v>890</v>
      </c>
      <c r="H101" s="10" t="n">
        <v>2</v>
      </c>
      <c r="I101" s="8" t="s">
        <v>377</v>
      </c>
    </row>
    <row r="102" customFormat="false" ht="30" hidden="false" customHeight="true" outlineLevel="0" collapsed="false">
      <c r="A102" s="9" t="s">
        <v>1119</v>
      </c>
      <c r="B102" s="10" t="n">
        <v>57</v>
      </c>
      <c r="C102" s="8" t="s">
        <v>1120</v>
      </c>
      <c r="D102" s="11" t="n">
        <v>2</v>
      </c>
      <c r="E102" s="8" t="s">
        <v>1098</v>
      </c>
      <c r="F102" s="8" t="s">
        <v>1099</v>
      </c>
      <c r="G102" s="8" t="s">
        <v>1121</v>
      </c>
      <c r="H102" s="10" t="n">
        <v>2</v>
      </c>
      <c r="I102" s="8" t="s">
        <v>377</v>
      </c>
    </row>
    <row r="103" customFormat="false" ht="42.75" hidden="false" customHeight="true" outlineLevel="0" collapsed="false">
      <c r="A103" s="9" t="s">
        <v>1122</v>
      </c>
      <c r="B103" s="10" t="n">
        <v>58</v>
      </c>
      <c r="C103" s="8" t="s">
        <v>1123</v>
      </c>
      <c r="D103" s="11" t="n">
        <v>2</v>
      </c>
      <c r="E103" s="8" t="s">
        <v>1098</v>
      </c>
      <c r="F103" s="8" t="s">
        <v>1099</v>
      </c>
      <c r="G103" s="8" t="s">
        <v>1124</v>
      </c>
      <c r="H103" s="10" t="n">
        <v>2</v>
      </c>
      <c r="I103" s="8" t="s">
        <v>377</v>
      </c>
    </row>
    <row r="104" customFormat="false" ht="30" hidden="false" customHeight="true" outlineLevel="0" collapsed="false">
      <c r="A104" s="9" t="s">
        <v>1125</v>
      </c>
      <c r="B104" s="10" t="n">
        <v>59</v>
      </c>
      <c r="C104" s="8" t="s">
        <v>928</v>
      </c>
      <c r="D104" s="11" t="n">
        <v>2</v>
      </c>
      <c r="E104" s="8" t="s">
        <v>1098</v>
      </c>
      <c r="F104" s="8" t="s">
        <v>1099</v>
      </c>
      <c r="G104" s="8" t="s">
        <v>1126</v>
      </c>
      <c r="H104" s="10" t="n">
        <v>2</v>
      </c>
      <c r="I104" s="8" t="s">
        <v>377</v>
      </c>
    </row>
    <row r="105" customFormat="false" ht="30" hidden="false" customHeight="true" outlineLevel="0" collapsed="false">
      <c r="A105" s="9" t="s">
        <v>1127</v>
      </c>
      <c r="B105" s="10" t="n">
        <v>60</v>
      </c>
      <c r="C105" s="8" t="s">
        <v>931</v>
      </c>
      <c r="D105" s="11" t="n">
        <v>2</v>
      </c>
      <c r="E105" s="8" t="s">
        <v>1098</v>
      </c>
      <c r="F105" s="8" t="s">
        <v>1099</v>
      </c>
      <c r="G105" s="8" t="s">
        <v>1128</v>
      </c>
      <c r="H105" s="10" t="n">
        <v>2</v>
      </c>
      <c r="I105" s="8" t="s">
        <v>377</v>
      </c>
    </row>
    <row r="106" customFormat="false" ht="30" hidden="false" customHeight="true" outlineLevel="0" collapsed="false">
      <c r="A106" s="9" t="s">
        <v>1129</v>
      </c>
      <c r="B106" s="10" t="n">
        <v>61</v>
      </c>
      <c r="C106" s="8" t="s">
        <v>251</v>
      </c>
      <c r="D106" s="11" t="n">
        <v>2</v>
      </c>
      <c r="E106" s="8" t="s">
        <v>1098</v>
      </c>
      <c r="F106" s="8" t="s">
        <v>1099</v>
      </c>
      <c r="G106" s="8" t="s">
        <v>1085</v>
      </c>
      <c r="H106" s="10" t="n">
        <v>2</v>
      </c>
      <c r="I106" s="8" t="s">
        <v>798</v>
      </c>
    </row>
    <row r="107" customFormat="false" ht="30" hidden="false" customHeight="true" outlineLevel="0" collapsed="false">
      <c r="A107" s="9" t="s">
        <v>1130</v>
      </c>
      <c r="B107" s="10" t="n">
        <v>62</v>
      </c>
      <c r="C107" s="8" t="s">
        <v>253</v>
      </c>
      <c r="D107" s="11" t="n">
        <v>2</v>
      </c>
      <c r="E107" s="8" t="s">
        <v>1098</v>
      </c>
      <c r="F107" s="8" t="s">
        <v>1099</v>
      </c>
      <c r="G107" s="8" t="s">
        <v>1085</v>
      </c>
      <c r="H107" s="10" t="n">
        <v>2</v>
      </c>
      <c r="I107" s="8" t="s">
        <v>798</v>
      </c>
    </row>
    <row r="108" customFormat="false" ht="42.75" hidden="false" customHeight="true" outlineLevel="0" collapsed="false">
      <c r="A108" s="9" t="s">
        <v>1131</v>
      </c>
      <c r="B108" s="10" t="n">
        <v>64</v>
      </c>
      <c r="C108" s="8" t="s">
        <v>1132</v>
      </c>
      <c r="D108" s="11" t="n">
        <v>2</v>
      </c>
      <c r="E108" s="8" t="s">
        <v>1098</v>
      </c>
      <c r="F108" s="8" t="s">
        <v>1099</v>
      </c>
      <c r="G108" s="8" t="s">
        <v>1133</v>
      </c>
      <c r="H108" s="10" t="n">
        <v>2</v>
      </c>
      <c r="I108" s="8" t="s">
        <v>1068</v>
      </c>
    </row>
    <row r="109" customFormat="false" ht="42.75" hidden="false" customHeight="true" outlineLevel="0" collapsed="false">
      <c r="A109" s="9" t="s">
        <v>1134</v>
      </c>
      <c r="B109" s="10" t="n">
        <v>65</v>
      </c>
      <c r="C109" s="8" t="s">
        <v>1135</v>
      </c>
      <c r="D109" s="11" t="n">
        <v>2</v>
      </c>
      <c r="E109" s="8" t="s">
        <v>1098</v>
      </c>
      <c r="F109" s="8" t="s">
        <v>1099</v>
      </c>
      <c r="G109" s="8" t="s">
        <v>1136</v>
      </c>
      <c r="H109" s="10" t="n">
        <v>1</v>
      </c>
      <c r="I109" s="8" t="s">
        <v>1066</v>
      </c>
    </row>
    <row r="110" customFormat="false" ht="42.75" hidden="false" customHeight="true" outlineLevel="0" collapsed="false">
      <c r="A110" s="9" t="s">
        <v>1137</v>
      </c>
      <c r="B110" s="10" t="n">
        <v>66</v>
      </c>
      <c r="C110" s="8" t="s">
        <v>1138</v>
      </c>
      <c r="D110" s="11" t="n">
        <v>2</v>
      </c>
      <c r="E110" s="8" t="s">
        <v>1098</v>
      </c>
      <c r="F110" s="8" t="s">
        <v>1099</v>
      </c>
      <c r="G110" s="8" t="s">
        <v>1139</v>
      </c>
      <c r="H110" s="10" t="n">
        <v>2</v>
      </c>
      <c r="I110" s="8" t="s">
        <v>423</v>
      </c>
    </row>
    <row r="111" customFormat="false" ht="30" hidden="false" customHeight="true" outlineLevel="0" collapsed="false">
      <c r="A111" s="9" t="s">
        <v>1140</v>
      </c>
      <c r="B111" s="10" t="n">
        <v>67</v>
      </c>
      <c r="C111" s="8" t="s">
        <v>1141</v>
      </c>
      <c r="D111" s="11" t="n">
        <v>2</v>
      </c>
      <c r="E111" s="8" t="s">
        <v>1098</v>
      </c>
      <c r="F111" s="8" t="s">
        <v>1099</v>
      </c>
      <c r="G111" s="8" t="s">
        <v>1142</v>
      </c>
      <c r="H111" s="10" t="n">
        <v>2</v>
      </c>
      <c r="I111" s="8" t="s">
        <v>798</v>
      </c>
    </row>
    <row r="112" customFormat="false" ht="42.75" hidden="false" customHeight="true" outlineLevel="0" collapsed="false">
      <c r="A112" s="9" t="s">
        <v>1143</v>
      </c>
      <c r="B112" s="10" t="n">
        <v>68</v>
      </c>
      <c r="C112" s="8" t="s">
        <v>1144</v>
      </c>
      <c r="D112" s="11" t="n">
        <v>2</v>
      </c>
      <c r="E112" s="8" t="s">
        <v>1098</v>
      </c>
      <c r="F112" s="8" t="s">
        <v>1099</v>
      </c>
      <c r="G112" s="8" t="s">
        <v>1088</v>
      </c>
      <c r="H112" s="10" t="n">
        <v>2</v>
      </c>
      <c r="I112" s="8" t="s">
        <v>480</v>
      </c>
    </row>
    <row r="113" customFormat="false" ht="30" hidden="false" customHeight="true" outlineLevel="0" collapsed="false">
      <c r="A113" s="9" t="s">
        <v>1145</v>
      </c>
      <c r="B113" s="10" t="n">
        <v>69</v>
      </c>
      <c r="C113" s="8" t="s">
        <v>1146</v>
      </c>
      <c r="D113" s="11" t="n">
        <v>2</v>
      </c>
      <c r="E113" s="8" t="s">
        <v>1098</v>
      </c>
      <c r="F113" s="8" t="s">
        <v>1099</v>
      </c>
      <c r="G113" s="8" t="s">
        <v>1055</v>
      </c>
      <c r="H113" s="10" t="n">
        <v>1</v>
      </c>
      <c r="I113" s="8" t="s">
        <v>1056</v>
      </c>
    </row>
    <row r="114" customFormat="false" ht="30" hidden="false" customHeight="true" outlineLevel="0" collapsed="false">
      <c r="A114" s="9" t="s">
        <v>1147</v>
      </c>
      <c r="B114" s="10" t="n">
        <v>70</v>
      </c>
      <c r="C114" s="8" t="s">
        <v>1148</v>
      </c>
      <c r="D114" s="11" t="n">
        <v>2</v>
      </c>
      <c r="E114" s="8" t="s">
        <v>1098</v>
      </c>
      <c r="F114" s="8" t="s">
        <v>1099</v>
      </c>
      <c r="G114" s="8" t="s">
        <v>1149</v>
      </c>
      <c r="H114" s="10" t="n">
        <v>2</v>
      </c>
      <c r="I114" s="8" t="s">
        <v>423</v>
      </c>
    </row>
    <row r="115" customFormat="false" ht="16.5" hidden="false" customHeight="true" outlineLevel="0" collapsed="false">
      <c r="A115" s="9" t="s">
        <v>1150</v>
      </c>
      <c r="B115" s="10" t="n">
        <v>113</v>
      </c>
      <c r="C115" s="8" t="s">
        <v>1151</v>
      </c>
      <c r="D115" s="11" t="n">
        <v>2</v>
      </c>
      <c r="E115" s="8" t="s">
        <v>1098</v>
      </c>
      <c r="F115" s="8" t="s">
        <v>1099</v>
      </c>
      <c r="G115" s="8" t="s">
        <v>888</v>
      </c>
      <c r="H115" s="10" t="n">
        <v>2</v>
      </c>
      <c r="I115" s="8" t="s">
        <v>135</v>
      </c>
    </row>
    <row r="116" customFormat="false" ht="16.5" hidden="false" customHeight="true" outlineLevel="0" collapsed="false">
      <c r="A116" s="9" t="s">
        <v>1152</v>
      </c>
      <c r="B116" s="10" t="n">
        <v>114</v>
      </c>
      <c r="C116" s="8" t="s">
        <v>1153</v>
      </c>
      <c r="D116" s="11" t="n">
        <v>2</v>
      </c>
      <c r="E116" s="8" t="s">
        <v>1098</v>
      </c>
      <c r="F116" s="8" t="s">
        <v>1099</v>
      </c>
      <c r="G116" s="8" t="s">
        <v>888</v>
      </c>
      <c r="H116" s="10" t="n">
        <v>2</v>
      </c>
      <c r="I116" s="8" t="s">
        <v>135</v>
      </c>
    </row>
    <row r="117" customFormat="false" ht="16.5" hidden="false" customHeight="true" outlineLevel="0" collapsed="false">
      <c r="A117" s="9" t="s">
        <v>1154</v>
      </c>
      <c r="B117" s="10" t="n">
        <v>115</v>
      </c>
      <c r="C117" s="8" t="s">
        <v>1155</v>
      </c>
      <c r="D117" s="11" t="n">
        <v>2</v>
      </c>
      <c r="E117" s="8" t="s">
        <v>1098</v>
      </c>
      <c r="F117" s="8" t="s">
        <v>1099</v>
      </c>
      <c r="G117" s="8" t="s">
        <v>915</v>
      </c>
      <c r="H117" s="10" t="n">
        <v>2</v>
      </c>
      <c r="I117" s="8" t="s">
        <v>798</v>
      </c>
    </row>
    <row r="118" customFormat="false" ht="16.5" hidden="false" customHeight="true" outlineLevel="0" collapsed="false">
      <c r="A118" s="9" t="s">
        <v>1156</v>
      </c>
      <c r="B118" s="10" t="n">
        <v>130</v>
      </c>
      <c r="C118" s="8" t="s">
        <v>615</v>
      </c>
      <c r="D118" s="11" t="n">
        <v>2</v>
      </c>
      <c r="E118" s="8" t="s">
        <v>1098</v>
      </c>
      <c r="F118" s="8" t="s">
        <v>1099</v>
      </c>
      <c r="G118" s="8" t="s">
        <v>1157</v>
      </c>
      <c r="H118" s="10" t="n">
        <v>2</v>
      </c>
      <c r="I118" s="8" t="s">
        <v>377</v>
      </c>
    </row>
    <row r="119" customFormat="false" ht="30" hidden="false" customHeight="true" outlineLevel="0" collapsed="false">
      <c r="A119" s="9" t="s">
        <v>1158</v>
      </c>
      <c r="B119" s="10" t="n">
        <v>132</v>
      </c>
      <c r="C119" s="8" t="s">
        <v>1159</v>
      </c>
      <c r="D119" s="11" t="n">
        <v>2</v>
      </c>
      <c r="E119" s="8" t="s">
        <v>1098</v>
      </c>
      <c r="F119" s="8" t="s">
        <v>1099</v>
      </c>
      <c r="G119" s="8" t="s">
        <v>1160</v>
      </c>
      <c r="H119" s="10" t="n">
        <v>2</v>
      </c>
      <c r="I119" s="8" t="s">
        <v>115</v>
      </c>
    </row>
    <row r="120" customFormat="false" ht="30" hidden="false" customHeight="true" outlineLevel="0" collapsed="false">
      <c r="A120" s="9" t="s">
        <v>1161</v>
      </c>
      <c r="B120" s="10" t="n">
        <v>133</v>
      </c>
      <c r="C120" s="8" t="s">
        <v>1162</v>
      </c>
      <c r="D120" s="11" t="n">
        <v>2</v>
      </c>
      <c r="E120" s="8" t="s">
        <v>1098</v>
      </c>
      <c r="F120" s="8" t="s">
        <v>1099</v>
      </c>
      <c r="G120" s="8" t="s">
        <v>1163</v>
      </c>
      <c r="H120" s="10" t="n">
        <v>2</v>
      </c>
      <c r="I120" s="8" t="s">
        <v>328</v>
      </c>
    </row>
    <row r="121" customFormat="false" ht="30" hidden="false" customHeight="true" outlineLevel="0" collapsed="false">
      <c r="A121" s="9" t="s">
        <v>1164</v>
      </c>
      <c r="B121" s="10" t="n">
        <v>148</v>
      </c>
      <c r="C121" s="8" t="s">
        <v>1165</v>
      </c>
      <c r="D121" s="11" t="n">
        <v>2</v>
      </c>
      <c r="E121" s="8" t="s">
        <v>1098</v>
      </c>
      <c r="F121" s="8" t="s">
        <v>1099</v>
      </c>
      <c r="G121" s="8" t="s">
        <v>1166</v>
      </c>
      <c r="H121" s="10" t="n">
        <v>1</v>
      </c>
      <c r="I121" s="8" t="s">
        <v>1167</v>
      </c>
    </row>
    <row r="122" customFormat="false" ht="30" hidden="false" customHeight="true" outlineLevel="0" collapsed="false">
      <c r="A122" s="9" t="s">
        <v>1168</v>
      </c>
      <c r="B122" s="10" t="n">
        <v>149</v>
      </c>
      <c r="C122" s="8" t="s">
        <v>1169</v>
      </c>
      <c r="D122" s="11" t="n">
        <v>2</v>
      </c>
      <c r="E122" s="8" t="s">
        <v>1098</v>
      </c>
      <c r="F122" s="8" t="s">
        <v>1099</v>
      </c>
      <c r="G122" s="8" t="s">
        <v>1170</v>
      </c>
      <c r="H122" s="10" t="n">
        <v>2</v>
      </c>
      <c r="I122" s="8" t="s">
        <v>1026</v>
      </c>
    </row>
    <row r="123" customFormat="false" ht="42.75" hidden="false" customHeight="true" outlineLevel="0" collapsed="false">
      <c r="A123" s="9" t="s">
        <v>1171</v>
      </c>
      <c r="B123" s="10" t="n">
        <v>150</v>
      </c>
      <c r="C123" s="8" t="s">
        <v>1172</v>
      </c>
      <c r="D123" s="11" t="n">
        <v>2</v>
      </c>
      <c r="E123" s="8" t="s">
        <v>1098</v>
      </c>
      <c r="F123" s="8" t="s">
        <v>1099</v>
      </c>
      <c r="G123" s="8" t="s">
        <v>1173</v>
      </c>
      <c r="H123" s="10" t="n">
        <v>2</v>
      </c>
      <c r="I123" s="8" t="s">
        <v>798</v>
      </c>
    </row>
    <row r="124" customFormat="false" ht="30" hidden="false" customHeight="true" outlineLevel="0" collapsed="false">
      <c r="A124" s="9" t="s">
        <v>1174</v>
      </c>
      <c r="B124" s="10" t="n">
        <v>151</v>
      </c>
      <c r="C124" s="8" t="s">
        <v>1175</v>
      </c>
      <c r="D124" s="11" t="n">
        <v>2</v>
      </c>
      <c r="E124" s="8" t="s">
        <v>1098</v>
      </c>
      <c r="F124" s="8" t="s">
        <v>1099</v>
      </c>
      <c r="G124" s="8" t="s">
        <v>840</v>
      </c>
      <c r="H124" s="10" t="n">
        <v>2</v>
      </c>
      <c r="I124" s="8" t="s">
        <v>798</v>
      </c>
    </row>
    <row r="125" customFormat="false" ht="30" hidden="false" customHeight="true" outlineLevel="0" collapsed="false">
      <c r="A125" s="9" t="s">
        <v>1176</v>
      </c>
      <c r="B125" s="10" t="n">
        <v>152</v>
      </c>
      <c r="C125" s="8" t="s">
        <v>1177</v>
      </c>
      <c r="D125" s="11" t="n">
        <v>2</v>
      </c>
      <c r="E125" s="8" t="s">
        <v>1098</v>
      </c>
      <c r="F125" s="8" t="s">
        <v>1099</v>
      </c>
      <c r="G125" s="8" t="s">
        <v>1178</v>
      </c>
      <c r="H125" s="10" t="n">
        <v>2</v>
      </c>
      <c r="I125" s="8" t="s">
        <v>798</v>
      </c>
    </row>
    <row r="126" customFormat="false" ht="30" hidden="false" customHeight="true" outlineLevel="0" collapsed="false">
      <c r="A126" s="9" t="s">
        <v>1179</v>
      </c>
      <c r="B126" s="10" t="n">
        <v>153</v>
      </c>
      <c r="C126" s="8" t="s">
        <v>1180</v>
      </c>
      <c r="D126" s="11" t="n">
        <v>2</v>
      </c>
      <c r="E126" s="8" t="s">
        <v>1098</v>
      </c>
      <c r="F126" s="8" t="s">
        <v>1099</v>
      </c>
      <c r="G126" s="8" t="s">
        <v>1181</v>
      </c>
      <c r="H126" s="10" t="n">
        <v>2</v>
      </c>
      <c r="I126" s="8" t="s">
        <v>798</v>
      </c>
    </row>
    <row r="127" customFormat="false" ht="16.5" hidden="false" customHeight="true" outlineLevel="0" collapsed="false">
      <c r="A127" s="9" t="s">
        <v>1182</v>
      </c>
      <c r="B127" s="10" t="n">
        <v>154</v>
      </c>
      <c r="C127" s="8" t="s">
        <v>1183</v>
      </c>
      <c r="D127" s="11" t="n">
        <v>2</v>
      </c>
      <c r="E127" s="8" t="s">
        <v>1098</v>
      </c>
      <c r="F127" s="8" t="s">
        <v>1099</v>
      </c>
      <c r="G127" s="8" t="s">
        <v>1184</v>
      </c>
      <c r="H127" s="10" t="n">
        <v>2</v>
      </c>
      <c r="I127" s="8" t="s">
        <v>798</v>
      </c>
    </row>
    <row r="128" customFormat="false" ht="30" hidden="false" customHeight="true" outlineLevel="0" collapsed="false">
      <c r="A128" s="9" t="s">
        <v>1185</v>
      </c>
      <c r="B128" s="10" t="n">
        <v>155</v>
      </c>
      <c r="C128" s="8" t="s">
        <v>1186</v>
      </c>
      <c r="D128" s="11" t="n">
        <v>2</v>
      </c>
      <c r="E128" s="8" t="s">
        <v>1098</v>
      </c>
      <c r="F128" s="8" t="s">
        <v>1099</v>
      </c>
      <c r="G128" s="8" t="s">
        <v>1187</v>
      </c>
      <c r="H128" s="10" t="n">
        <v>2</v>
      </c>
      <c r="I128" s="8" t="s">
        <v>377</v>
      </c>
    </row>
    <row r="129" customFormat="false" ht="30" hidden="false" customHeight="true" outlineLevel="0" collapsed="false">
      <c r="A129" s="9" t="s">
        <v>1188</v>
      </c>
      <c r="B129" s="10" t="n">
        <v>156</v>
      </c>
      <c r="C129" s="8" t="s">
        <v>1189</v>
      </c>
      <c r="D129" s="11" t="n">
        <v>2</v>
      </c>
      <c r="E129" s="8" t="s">
        <v>1098</v>
      </c>
      <c r="F129" s="8" t="s">
        <v>1099</v>
      </c>
      <c r="G129" s="8" t="s">
        <v>1181</v>
      </c>
      <c r="H129" s="10" t="n">
        <v>2</v>
      </c>
      <c r="I129" s="8" t="s">
        <v>798</v>
      </c>
    </row>
    <row r="130" customFormat="false" ht="30" hidden="false" customHeight="true" outlineLevel="0" collapsed="false">
      <c r="A130" s="9" t="s">
        <v>1190</v>
      </c>
      <c r="B130" s="10" t="n">
        <v>157</v>
      </c>
      <c r="C130" s="8" t="s">
        <v>955</v>
      </c>
      <c r="D130" s="11" t="n">
        <v>2</v>
      </c>
      <c r="E130" s="8" t="s">
        <v>1098</v>
      </c>
      <c r="F130" s="8" t="s">
        <v>1099</v>
      </c>
      <c r="G130" s="8" t="s">
        <v>1191</v>
      </c>
      <c r="H130" s="10" t="n">
        <v>2</v>
      </c>
      <c r="I130" s="8" t="s">
        <v>798</v>
      </c>
    </row>
    <row r="131" customFormat="false" ht="16.5" hidden="false" customHeight="true" outlineLevel="0" collapsed="false">
      <c r="A131" s="9" t="s">
        <v>1192</v>
      </c>
      <c r="B131" s="10" t="n">
        <v>158</v>
      </c>
      <c r="C131" s="8" t="s">
        <v>1193</v>
      </c>
      <c r="D131" s="11" t="n">
        <v>2</v>
      </c>
      <c r="E131" s="8" t="s">
        <v>1098</v>
      </c>
      <c r="F131" s="8" t="s">
        <v>1099</v>
      </c>
      <c r="G131" s="8" t="s">
        <v>1194</v>
      </c>
      <c r="H131" s="10" t="n">
        <v>2</v>
      </c>
      <c r="I131" s="8" t="s">
        <v>798</v>
      </c>
    </row>
    <row r="132" customFormat="false" ht="30" hidden="false" customHeight="true" outlineLevel="0" collapsed="false">
      <c r="A132" s="9" t="s">
        <v>1195</v>
      </c>
      <c r="B132" s="10" t="n">
        <v>159</v>
      </c>
      <c r="C132" s="8" t="s">
        <v>1196</v>
      </c>
      <c r="D132" s="11" t="n">
        <v>2</v>
      </c>
      <c r="E132" s="8" t="s">
        <v>1098</v>
      </c>
      <c r="F132" s="8" t="s">
        <v>1099</v>
      </c>
      <c r="G132" s="8" t="s">
        <v>1197</v>
      </c>
      <c r="H132" s="10" t="n">
        <v>2</v>
      </c>
      <c r="I132" s="8" t="s">
        <v>798</v>
      </c>
    </row>
    <row r="133" customFormat="false" ht="42.75" hidden="false" customHeight="true" outlineLevel="0" collapsed="false">
      <c r="A133" s="9" t="s">
        <v>1198</v>
      </c>
      <c r="B133" s="10" t="n">
        <v>160</v>
      </c>
      <c r="C133" s="8" t="s">
        <v>1199</v>
      </c>
      <c r="D133" s="11" t="n">
        <v>2</v>
      </c>
      <c r="E133" s="8" t="s">
        <v>1098</v>
      </c>
      <c r="F133" s="8" t="s">
        <v>1099</v>
      </c>
      <c r="G133" s="8" t="s">
        <v>1200</v>
      </c>
      <c r="H133" s="10" t="n">
        <v>2</v>
      </c>
      <c r="I133" s="8" t="s">
        <v>798</v>
      </c>
    </row>
    <row r="134" customFormat="false" ht="30" hidden="false" customHeight="true" outlineLevel="0" collapsed="false">
      <c r="A134" s="9" t="s">
        <v>1201</v>
      </c>
      <c r="B134" s="10" t="n">
        <v>161</v>
      </c>
      <c r="C134" s="8" t="s">
        <v>931</v>
      </c>
      <c r="D134" s="11" t="n">
        <v>2</v>
      </c>
      <c r="E134" s="8" t="s">
        <v>1098</v>
      </c>
      <c r="F134" s="8" t="s">
        <v>1099</v>
      </c>
      <c r="G134" s="8" t="s">
        <v>1202</v>
      </c>
      <c r="H134" s="10" t="n">
        <v>2</v>
      </c>
      <c r="I134" s="8" t="s">
        <v>798</v>
      </c>
    </row>
    <row r="135" customFormat="false" ht="30" hidden="false" customHeight="true" outlineLevel="0" collapsed="false">
      <c r="A135" s="9" t="s">
        <v>1203</v>
      </c>
      <c r="B135" s="10" t="n">
        <v>162</v>
      </c>
      <c r="C135" s="8" t="s">
        <v>928</v>
      </c>
      <c r="D135" s="11" t="n">
        <v>2</v>
      </c>
      <c r="E135" s="8" t="s">
        <v>1098</v>
      </c>
      <c r="F135" s="8" t="s">
        <v>1099</v>
      </c>
      <c r="G135" s="8" t="s">
        <v>1204</v>
      </c>
      <c r="H135" s="10" t="n">
        <v>2</v>
      </c>
      <c r="I135" s="8" t="s">
        <v>798</v>
      </c>
    </row>
    <row r="136" customFormat="false" ht="30" hidden="false" customHeight="true" outlineLevel="0" collapsed="false">
      <c r="A136" s="9" t="s">
        <v>1205</v>
      </c>
      <c r="B136" s="10" t="n">
        <v>163</v>
      </c>
      <c r="C136" s="8" t="s">
        <v>251</v>
      </c>
      <c r="D136" s="11" t="n">
        <v>2</v>
      </c>
      <c r="E136" s="8" t="s">
        <v>1098</v>
      </c>
      <c r="F136" s="8" t="s">
        <v>1099</v>
      </c>
      <c r="G136" s="8" t="s">
        <v>1085</v>
      </c>
      <c r="H136" s="10" t="n">
        <v>2</v>
      </c>
      <c r="I136" s="8" t="s">
        <v>798</v>
      </c>
    </row>
    <row r="137" customFormat="false" ht="30" hidden="false" customHeight="true" outlineLevel="0" collapsed="false">
      <c r="A137" s="9" t="s">
        <v>1206</v>
      </c>
      <c r="B137" s="10" t="n">
        <v>164</v>
      </c>
      <c r="C137" s="8" t="s">
        <v>253</v>
      </c>
      <c r="D137" s="11" t="n">
        <v>2</v>
      </c>
      <c r="E137" s="8" t="s">
        <v>1098</v>
      </c>
      <c r="F137" s="8" t="s">
        <v>1099</v>
      </c>
      <c r="G137" s="8" t="s">
        <v>1085</v>
      </c>
      <c r="H137" s="10" t="n">
        <v>2</v>
      </c>
      <c r="I137" s="8" t="s">
        <v>798</v>
      </c>
    </row>
    <row r="138" customFormat="false" ht="30" hidden="false" customHeight="true" outlineLevel="0" collapsed="false">
      <c r="A138" s="9" t="s">
        <v>1207</v>
      </c>
      <c r="B138" s="10" t="n">
        <v>165</v>
      </c>
      <c r="C138" s="8" t="s">
        <v>1208</v>
      </c>
      <c r="D138" s="11" t="n">
        <v>2</v>
      </c>
      <c r="E138" s="8" t="s">
        <v>1098</v>
      </c>
      <c r="F138" s="8" t="s">
        <v>1099</v>
      </c>
      <c r="G138" s="8" t="s">
        <v>1209</v>
      </c>
      <c r="H138" s="10" t="n">
        <v>2</v>
      </c>
      <c r="I138" s="8" t="s">
        <v>798</v>
      </c>
    </row>
    <row r="139" customFormat="false" ht="30" hidden="false" customHeight="true" outlineLevel="0" collapsed="false">
      <c r="A139" s="9" t="s">
        <v>1210</v>
      </c>
      <c r="B139" s="10" t="n">
        <v>166</v>
      </c>
      <c r="C139" s="8" t="s">
        <v>1211</v>
      </c>
      <c r="D139" s="11" t="n">
        <v>2</v>
      </c>
      <c r="E139" s="8" t="s">
        <v>1098</v>
      </c>
      <c r="F139" s="8" t="s">
        <v>1099</v>
      </c>
      <c r="G139" s="8" t="s">
        <v>1212</v>
      </c>
      <c r="H139" s="10" t="n">
        <v>2</v>
      </c>
      <c r="I139" s="8" t="s">
        <v>798</v>
      </c>
    </row>
    <row r="140" customFormat="false" ht="30" hidden="false" customHeight="true" outlineLevel="0" collapsed="false">
      <c r="A140" s="9" t="s">
        <v>1213</v>
      </c>
      <c r="B140" s="10" t="n">
        <v>167</v>
      </c>
      <c r="C140" s="8" t="s">
        <v>931</v>
      </c>
      <c r="D140" s="11" t="n">
        <v>2</v>
      </c>
      <c r="E140" s="8" t="s">
        <v>1098</v>
      </c>
      <c r="F140" s="8" t="s">
        <v>1099</v>
      </c>
      <c r="G140" s="8" t="s">
        <v>1181</v>
      </c>
      <c r="H140" s="10" t="n">
        <v>2</v>
      </c>
      <c r="I140" s="8" t="s">
        <v>798</v>
      </c>
    </row>
    <row r="141" customFormat="false" ht="30" hidden="false" customHeight="true" outlineLevel="0" collapsed="false">
      <c r="A141" s="9" t="s">
        <v>1214</v>
      </c>
      <c r="B141" s="10" t="n">
        <v>168</v>
      </c>
      <c r="C141" s="8" t="s">
        <v>928</v>
      </c>
      <c r="D141" s="11" t="n">
        <v>2</v>
      </c>
      <c r="E141" s="8" t="s">
        <v>1098</v>
      </c>
      <c r="F141" s="8" t="s">
        <v>1099</v>
      </c>
      <c r="G141" s="8" t="s">
        <v>1215</v>
      </c>
      <c r="H141" s="10" t="n">
        <v>2</v>
      </c>
      <c r="I141" s="8" t="s">
        <v>798</v>
      </c>
    </row>
    <row r="142" customFormat="false" ht="16.5" hidden="false" customHeight="true" outlineLevel="0" collapsed="false">
      <c r="A142" s="9" t="s">
        <v>1216</v>
      </c>
      <c r="B142" s="10" t="n">
        <v>169</v>
      </c>
      <c r="C142" s="8" t="s">
        <v>1217</v>
      </c>
      <c r="D142" s="11" t="n">
        <v>2</v>
      </c>
      <c r="E142" s="8" t="s">
        <v>1098</v>
      </c>
      <c r="F142" s="8" t="s">
        <v>1099</v>
      </c>
      <c r="G142" s="8" t="s">
        <v>1218</v>
      </c>
      <c r="H142" s="10" t="n">
        <v>2</v>
      </c>
      <c r="I142" s="8" t="s">
        <v>798</v>
      </c>
    </row>
    <row r="143" customFormat="false" ht="16.5" hidden="false" customHeight="true" outlineLevel="0" collapsed="false">
      <c r="A143" s="9" t="s">
        <v>1219</v>
      </c>
      <c r="B143" s="10" t="n">
        <v>170</v>
      </c>
      <c r="C143" s="8" t="s">
        <v>1220</v>
      </c>
      <c r="D143" s="11" t="n">
        <v>2</v>
      </c>
      <c r="E143" s="8" t="s">
        <v>1098</v>
      </c>
      <c r="F143" s="8" t="s">
        <v>1099</v>
      </c>
      <c r="G143" s="8" t="s">
        <v>1221</v>
      </c>
      <c r="H143" s="10" t="n">
        <v>2</v>
      </c>
      <c r="I143" s="8" t="s">
        <v>798</v>
      </c>
    </row>
    <row r="144" customFormat="false" ht="16.5" hidden="false" customHeight="true" outlineLevel="0" collapsed="false">
      <c r="A144" s="9" t="s">
        <v>1222</v>
      </c>
      <c r="B144" s="10" t="n">
        <v>171</v>
      </c>
      <c r="C144" s="8" t="s">
        <v>1223</v>
      </c>
      <c r="D144" s="11" t="n">
        <v>2</v>
      </c>
      <c r="E144" s="8" t="s">
        <v>1098</v>
      </c>
      <c r="F144" s="8" t="s">
        <v>1099</v>
      </c>
      <c r="G144" s="8" t="s">
        <v>1224</v>
      </c>
      <c r="H144" s="10" t="n">
        <v>2</v>
      </c>
      <c r="I144" s="8" t="s">
        <v>798</v>
      </c>
    </row>
    <row r="145" customFormat="false" ht="42.75" hidden="false" customHeight="true" outlineLevel="0" collapsed="false">
      <c r="A145" s="9" t="s">
        <v>1225</v>
      </c>
      <c r="B145" s="10" t="n">
        <v>172</v>
      </c>
      <c r="C145" s="8" t="s">
        <v>1226</v>
      </c>
      <c r="D145" s="11" t="n">
        <v>2</v>
      </c>
      <c r="E145" s="8" t="s">
        <v>1098</v>
      </c>
      <c r="F145" s="8" t="s">
        <v>1227</v>
      </c>
      <c r="G145" s="8" t="s">
        <v>867</v>
      </c>
      <c r="H145" s="10" t="n">
        <v>2</v>
      </c>
      <c r="I145" s="8" t="s">
        <v>798</v>
      </c>
    </row>
    <row r="146" customFormat="false" ht="42.75" hidden="false" customHeight="true" outlineLevel="0" collapsed="false">
      <c r="A146" s="9" t="s">
        <v>1228</v>
      </c>
      <c r="B146" s="10" t="n">
        <v>173</v>
      </c>
      <c r="C146" s="8" t="s">
        <v>1229</v>
      </c>
      <c r="D146" s="11" t="n">
        <v>2</v>
      </c>
      <c r="E146" s="8" t="s">
        <v>1098</v>
      </c>
      <c r="F146" s="8" t="s">
        <v>1099</v>
      </c>
      <c r="G146" s="8" t="s">
        <v>1230</v>
      </c>
      <c r="H146" s="10" t="n">
        <v>2</v>
      </c>
      <c r="I146" s="8" t="s">
        <v>1026</v>
      </c>
    </row>
    <row r="147" customFormat="false" ht="30" hidden="false" customHeight="true" outlineLevel="0" collapsed="false">
      <c r="A147" s="9" t="s">
        <v>1231</v>
      </c>
      <c r="B147" s="10" t="n">
        <v>175</v>
      </c>
      <c r="C147" s="8" t="s">
        <v>1232</v>
      </c>
      <c r="D147" s="11" t="n">
        <v>2</v>
      </c>
      <c r="E147" s="8" t="s">
        <v>1098</v>
      </c>
      <c r="F147" s="8" t="s">
        <v>1099</v>
      </c>
      <c r="G147" s="8" t="s">
        <v>1233</v>
      </c>
      <c r="H147" s="10" t="n">
        <v>2</v>
      </c>
      <c r="I147" s="8" t="s">
        <v>798</v>
      </c>
    </row>
    <row r="148" customFormat="false" ht="16.5" hidden="false" customHeight="true" outlineLevel="0" collapsed="false">
      <c r="A148" s="9" t="s">
        <v>1234</v>
      </c>
      <c r="B148" s="10" t="n">
        <v>176</v>
      </c>
      <c r="C148" s="8" t="s">
        <v>1220</v>
      </c>
      <c r="D148" s="11" t="n">
        <v>2</v>
      </c>
      <c r="E148" s="8" t="s">
        <v>1098</v>
      </c>
      <c r="F148" s="8" t="s">
        <v>1099</v>
      </c>
      <c r="G148" s="8" t="s">
        <v>1235</v>
      </c>
      <c r="H148" s="10" t="n">
        <v>2</v>
      </c>
      <c r="I148" s="8" t="s">
        <v>798</v>
      </c>
    </row>
    <row r="149" customFormat="false" ht="42.75" hidden="false" customHeight="true" outlineLevel="0" collapsed="false">
      <c r="A149" s="9" t="s">
        <v>1236</v>
      </c>
      <c r="B149" s="10" t="n">
        <v>178</v>
      </c>
      <c r="C149" s="8" t="s">
        <v>1237</v>
      </c>
      <c r="D149" s="11" t="n">
        <v>2</v>
      </c>
      <c r="E149" s="8" t="s">
        <v>1098</v>
      </c>
      <c r="F149" s="8" t="s">
        <v>1099</v>
      </c>
      <c r="G149" s="8" t="s">
        <v>858</v>
      </c>
      <c r="H149" s="10" t="n">
        <v>2</v>
      </c>
      <c r="I149" s="8" t="s">
        <v>115</v>
      </c>
    </row>
    <row r="150" customFormat="false" ht="42.75" hidden="false" customHeight="true" outlineLevel="0" collapsed="false">
      <c r="A150" s="9" t="s">
        <v>1238</v>
      </c>
      <c r="B150" s="10" t="n">
        <v>179</v>
      </c>
      <c r="C150" s="8" t="s">
        <v>1239</v>
      </c>
      <c r="D150" s="11" t="n">
        <v>2</v>
      </c>
      <c r="E150" s="8" t="s">
        <v>1098</v>
      </c>
      <c r="F150" s="8" t="s">
        <v>1099</v>
      </c>
      <c r="G150" s="8" t="s">
        <v>1240</v>
      </c>
      <c r="H150" s="10" t="n">
        <v>2</v>
      </c>
      <c r="I150" s="8" t="s">
        <v>798</v>
      </c>
    </row>
    <row r="151" customFormat="false" ht="42.75" hidden="false" customHeight="true" outlineLevel="0" collapsed="false">
      <c r="A151" s="9" t="s">
        <v>1241</v>
      </c>
      <c r="B151" s="10" t="n">
        <v>180</v>
      </c>
      <c r="C151" s="8" t="s">
        <v>1242</v>
      </c>
      <c r="D151" s="11" t="n">
        <v>2</v>
      </c>
      <c r="E151" s="8" t="s">
        <v>1098</v>
      </c>
      <c r="F151" s="8" t="s">
        <v>1099</v>
      </c>
      <c r="G151" s="8" t="s">
        <v>1243</v>
      </c>
      <c r="H151" s="10" t="n">
        <v>2</v>
      </c>
      <c r="I151" s="8" t="s">
        <v>328</v>
      </c>
    </row>
    <row r="152" customFormat="false" ht="16.5" hidden="false" customHeight="true" outlineLevel="0" collapsed="false">
      <c r="A152" s="9" t="s">
        <v>1244</v>
      </c>
      <c r="B152" s="10" t="n">
        <v>181</v>
      </c>
      <c r="C152" s="8" t="s">
        <v>1245</v>
      </c>
      <c r="D152" s="11" t="n">
        <v>2</v>
      </c>
      <c r="E152" s="8" t="s">
        <v>1098</v>
      </c>
      <c r="F152" s="8" t="s">
        <v>1099</v>
      </c>
      <c r="G152" s="8" t="s">
        <v>1086</v>
      </c>
      <c r="H152" s="10" t="n">
        <v>2</v>
      </c>
      <c r="I152" s="8" t="s">
        <v>798</v>
      </c>
    </row>
    <row r="153" customFormat="false" ht="42.75" hidden="false" customHeight="true" outlineLevel="0" collapsed="false">
      <c r="A153" s="9" t="s">
        <v>1246</v>
      </c>
      <c r="B153" s="10" t="n">
        <v>182</v>
      </c>
      <c r="C153" s="8" t="s">
        <v>1247</v>
      </c>
      <c r="D153" s="11" t="n">
        <v>2</v>
      </c>
      <c r="E153" s="8" t="s">
        <v>1098</v>
      </c>
      <c r="F153" s="8" t="s">
        <v>1099</v>
      </c>
      <c r="G153" s="8" t="s">
        <v>1248</v>
      </c>
      <c r="H153" s="10" t="n">
        <v>2</v>
      </c>
      <c r="I153" s="8" t="s">
        <v>798</v>
      </c>
    </row>
    <row r="154" customFormat="false" ht="30" hidden="false" customHeight="true" outlineLevel="0" collapsed="false">
      <c r="A154" s="9" t="s">
        <v>1249</v>
      </c>
      <c r="B154" s="10" t="n">
        <v>183</v>
      </c>
      <c r="C154" s="8" t="s">
        <v>1250</v>
      </c>
      <c r="D154" s="11" t="n">
        <v>2</v>
      </c>
      <c r="E154" s="8" t="s">
        <v>1098</v>
      </c>
      <c r="F154" s="8" t="s">
        <v>1099</v>
      </c>
      <c r="G154" s="8" t="s">
        <v>1251</v>
      </c>
      <c r="H154" s="10" t="n">
        <v>2</v>
      </c>
      <c r="I154" s="8" t="s">
        <v>798</v>
      </c>
    </row>
    <row r="155" customFormat="false" ht="55.5" hidden="false" customHeight="true" outlineLevel="0" collapsed="false">
      <c r="A155" s="9" t="s">
        <v>1252</v>
      </c>
      <c r="B155" s="10" t="n">
        <v>184</v>
      </c>
      <c r="C155" s="8" t="s">
        <v>1253</v>
      </c>
      <c r="D155" s="11" t="n">
        <v>2</v>
      </c>
      <c r="E155" s="8" t="s">
        <v>1098</v>
      </c>
      <c r="F155" s="8" t="s">
        <v>1099</v>
      </c>
      <c r="G155" s="8" t="s">
        <v>985</v>
      </c>
      <c r="H155" s="10" t="n">
        <v>2</v>
      </c>
      <c r="I155" s="8" t="s">
        <v>798</v>
      </c>
    </row>
    <row r="156" customFormat="false" ht="42.75" hidden="false" customHeight="true" outlineLevel="0" collapsed="false">
      <c r="A156" s="9" t="s">
        <v>1254</v>
      </c>
      <c r="B156" s="10" t="n">
        <v>185</v>
      </c>
      <c r="C156" s="8" t="s">
        <v>1255</v>
      </c>
      <c r="D156" s="11" t="n">
        <v>2</v>
      </c>
      <c r="E156" s="8" t="s">
        <v>1098</v>
      </c>
      <c r="F156" s="8" t="s">
        <v>1099</v>
      </c>
      <c r="G156" s="8" t="s">
        <v>1256</v>
      </c>
      <c r="H156" s="10" t="n">
        <v>2</v>
      </c>
      <c r="I156" s="8" t="s">
        <v>798</v>
      </c>
    </row>
    <row r="157" customFormat="false" ht="69" hidden="false" customHeight="true" outlineLevel="0" collapsed="false">
      <c r="A157" s="9" t="s">
        <v>1257</v>
      </c>
      <c r="B157" s="10" t="n">
        <v>186</v>
      </c>
      <c r="C157" s="8" t="s">
        <v>1258</v>
      </c>
      <c r="D157" s="11" t="n">
        <v>2</v>
      </c>
      <c r="E157" s="8" t="s">
        <v>1098</v>
      </c>
      <c r="F157" s="8" t="s">
        <v>1099</v>
      </c>
      <c r="G157" s="8" t="s">
        <v>1259</v>
      </c>
      <c r="H157" s="10" t="n">
        <v>2</v>
      </c>
      <c r="I157" s="8" t="s">
        <v>798</v>
      </c>
    </row>
    <row r="158" customFormat="false" ht="55.5" hidden="false" customHeight="true" outlineLevel="0" collapsed="false">
      <c r="A158" s="9" t="s">
        <v>1260</v>
      </c>
      <c r="B158" s="10" t="n">
        <v>187</v>
      </c>
      <c r="C158" s="8" t="s">
        <v>1261</v>
      </c>
      <c r="D158" s="11" t="n">
        <v>2</v>
      </c>
      <c r="E158" s="8" t="s">
        <v>1098</v>
      </c>
      <c r="F158" s="8" t="s">
        <v>1099</v>
      </c>
      <c r="G158" s="8" t="s">
        <v>1018</v>
      </c>
      <c r="H158" s="10" t="n">
        <v>2</v>
      </c>
      <c r="I158" s="8" t="s">
        <v>798</v>
      </c>
    </row>
    <row r="159" customFormat="false" ht="55.5" hidden="false" customHeight="true" outlineLevel="0" collapsed="false">
      <c r="A159" s="9" t="s">
        <v>1262</v>
      </c>
      <c r="B159" s="10" t="n">
        <v>188</v>
      </c>
      <c r="C159" s="8" t="s">
        <v>1263</v>
      </c>
      <c r="D159" s="11" t="n">
        <v>2</v>
      </c>
      <c r="E159" s="8" t="s">
        <v>1098</v>
      </c>
      <c r="F159" s="8" t="s">
        <v>1099</v>
      </c>
      <c r="G159" s="8" t="s">
        <v>1264</v>
      </c>
      <c r="H159" s="10" t="n">
        <v>2</v>
      </c>
      <c r="I159" s="8" t="s">
        <v>798</v>
      </c>
    </row>
    <row r="160" customFormat="false" ht="69" hidden="false" customHeight="true" outlineLevel="0" collapsed="false">
      <c r="A160" s="9" t="s">
        <v>1265</v>
      </c>
      <c r="B160" s="10" t="n">
        <v>189</v>
      </c>
      <c r="C160" s="8" t="s">
        <v>1266</v>
      </c>
      <c r="D160" s="11" t="n">
        <v>2</v>
      </c>
      <c r="E160" s="8" t="s">
        <v>1098</v>
      </c>
      <c r="F160" s="8" t="s">
        <v>1099</v>
      </c>
      <c r="G160" s="8" t="s">
        <v>1267</v>
      </c>
      <c r="H160" s="10" t="n">
        <v>2</v>
      </c>
      <c r="I160" s="8" t="s">
        <v>798</v>
      </c>
    </row>
    <row r="161" customFormat="false" ht="30" hidden="false" customHeight="true" outlineLevel="0" collapsed="false">
      <c r="A161" s="9" t="s">
        <v>1268</v>
      </c>
      <c r="B161" s="10" t="n">
        <v>201</v>
      </c>
      <c r="C161" s="8" t="s">
        <v>1269</v>
      </c>
      <c r="D161" s="11" t="n">
        <v>2</v>
      </c>
      <c r="E161" s="8" t="s">
        <v>1098</v>
      </c>
      <c r="F161" s="8" t="s">
        <v>1099</v>
      </c>
      <c r="G161" s="8" t="s">
        <v>1270</v>
      </c>
      <c r="H161" s="10" t="n">
        <v>2</v>
      </c>
      <c r="I161" s="8" t="s">
        <v>798</v>
      </c>
    </row>
    <row r="162" customFormat="false" ht="16.5" hidden="false" customHeight="true" outlineLevel="0" collapsed="false">
      <c r="A162" s="9" t="s">
        <v>1271</v>
      </c>
      <c r="B162" s="10" t="n">
        <v>203</v>
      </c>
      <c r="C162" s="8" t="s">
        <v>1272</v>
      </c>
      <c r="D162" s="11" t="n">
        <v>2</v>
      </c>
      <c r="E162" s="8" t="s">
        <v>1098</v>
      </c>
      <c r="F162" s="8" t="s">
        <v>1099</v>
      </c>
      <c r="G162" s="8" t="s">
        <v>1273</v>
      </c>
      <c r="H162" s="10" t="n">
        <v>2</v>
      </c>
      <c r="I162" s="8" t="s">
        <v>798</v>
      </c>
    </row>
    <row r="163" customFormat="false" ht="42.75" hidden="false" customHeight="true" outlineLevel="0" collapsed="false">
      <c r="A163" s="9" t="s">
        <v>1274</v>
      </c>
      <c r="B163" s="10" t="n">
        <v>205</v>
      </c>
      <c r="C163" s="8" t="s">
        <v>1275</v>
      </c>
      <c r="D163" s="11" t="n">
        <v>2</v>
      </c>
      <c r="E163" s="8" t="s">
        <v>1098</v>
      </c>
      <c r="F163" s="8" t="s">
        <v>1099</v>
      </c>
      <c r="G163" s="8" t="s">
        <v>1276</v>
      </c>
      <c r="H163" s="10" t="n">
        <v>2</v>
      </c>
      <c r="I163" s="8" t="s">
        <v>115</v>
      </c>
    </row>
    <row r="164" customFormat="false" ht="42.75" hidden="false" customHeight="true" outlineLevel="0" collapsed="false">
      <c r="A164" s="9" t="s">
        <v>1277</v>
      </c>
      <c r="B164" s="10" t="n">
        <v>206</v>
      </c>
      <c r="C164" s="8" t="s">
        <v>1278</v>
      </c>
      <c r="D164" s="11" t="n">
        <v>2</v>
      </c>
      <c r="E164" s="8" t="s">
        <v>1098</v>
      </c>
      <c r="F164" s="8" t="s">
        <v>1099</v>
      </c>
      <c r="G164" s="8" t="s">
        <v>1279</v>
      </c>
      <c r="H164" s="10" t="n">
        <v>2</v>
      </c>
      <c r="I164" s="8" t="s">
        <v>798</v>
      </c>
    </row>
    <row r="165" customFormat="false" ht="42.75" hidden="false" customHeight="true" outlineLevel="0" collapsed="false">
      <c r="A165" s="9" t="s">
        <v>1280</v>
      </c>
      <c r="B165" s="10" t="n">
        <v>207</v>
      </c>
      <c r="C165" s="8" t="s">
        <v>1281</v>
      </c>
      <c r="D165" s="11" t="n">
        <v>2</v>
      </c>
      <c r="E165" s="8" t="s">
        <v>1098</v>
      </c>
      <c r="F165" s="8" t="s">
        <v>1099</v>
      </c>
      <c r="G165" s="8" t="s">
        <v>1282</v>
      </c>
      <c r="H165" s="10" t="n">
        <v>1</v>
      </c>
      <c r="I165" s="8" t="s">
        <v>1283</v>
      </c>
    </row>
    <row r="166" customFormat="false" ht="30" hidden="false" customHeight="true" outlineLevel="0" collapsed="false">
      <c r="A166" s="9" t="s">
        <v>1284</v>
      </c>
      <c r="B166" s="10" t="n">
        <v>210</v>
      </c>
      <c r="C166" s="8" t="s">
        <v>1285</v>
      </c>
      <c r="D166" s="11" t="n">
        <v>2</v>
      </c>
      <c r="E166" s="8" t="s">
        <v>1098</v>
      </c>
      <c r="F166" s="8" t="s">
        <v>1099</v>
      </c>
      <c r="G166" s="8" t="s">
        <v>1286</v>
      </c>
      <c r="H166" s="10" t="n">
        <v>2</v>
      </c>
      <c r="I166" s="8" t="s">
        <v>518</v>
      </c>
    </row>
    <row r="167" customFormat="false" ht="42.75" hidden="false" customHeight="true" outlineLevel="0" collapsed="false">
      <c r="A167" s="9" t="s">
        <v>1287</v>
      </c>
      <c r="B167" s="10" t="n">
        <v>211</v>
      </c>
      <c r="C167" s="8" t="s">
        <v>1288</v>
      </c>
      <c r="D167" s="11" t="n">
        <v>2</v>
      </c>
      <c r="E167" s="8" t="s">
        <v>1098</v>
      </c>
      <c r="F167" s="8" t="s">
        <v>1099</v>
      </c>
      <c r="G167" s="8" t="s">
        <v>1289</v>
      </c>
      <c r="H167" s="10" t="n">
        <v>2</v>
      </c>
      <c r="I167" s="8" t="s">
        <v>518</v>
      </c>
    </row>
    <row r="168" customFormat="false" ht="15" hidden="false" customHeight="true" outlineLevel="0" collapsed="false">
      <c r="A168" s="9"/>
      <c r="B168" s="10"/>
      <c r="C168" s="8"/>
      <c r="D168" s="10"/>
      <c r="E168" s="8"/>
      <c r="F168" s="8"/>
      <c r="G168" s="8"/>
    </row>
    <row r="169" customFormat="false" ht="15" hidden="false" customHeight="true" outlineLevel="0" collapsed="false">
      <c r="A169" s="13" t="s">
        <v>1290</v>
      </c>
      <c r="B169" s="10"/>
      <c r="C169" s="8"/>
      <c r="D169" s="10"/>
      <c r="E169" s="8"/>
      <c r="F169" s="8"/>
      <c r="G169" s="8"/>
    </row>
    <row r="170" customFormat="false" ht="15" hidden="false" customHeight="true" outlineLevel="0" collapsed="false">
      <c r="C170" s="14" t="s">
        <v>912</v>
      </c>
      <c r="D170" s="14" t="n">
        <f aca="false">COUNTIF($E$5:$E$167,C170)</f>
        <v>3</v>
      </c>
    </row>
    <row r="171" customFormat="false" ht="15" hidden="false" customHeight="true" outlineLevel="0" collapsed="false">
      <c r="C171" s="14" t="s">
        <v>918</v>
      </c>
      <c r="D171" s="14" t="n">
        <f aca="false">COUNTIF($E$5:$E$167,C171)</f>
        <v>31</v>
      </c>
    </row>
    <row r="172" customFormat="false" ht="15" hidden="false" customHeight="true" outlineLevel="0" collapsed="false">
      <c r="C172" s="14" t="s">
        <v>1004</v>
      </c>
      <c r="D172" s="14" t="n">
        <f aca="false">COUNTIF($E$5:$E$167,C172)</f>
        <v>10</v>
      </c>
    </row>
    <row r="173" customFormat="false" ht="15" hidden="false" customHeight="true" outlineLevel="0" collapsed="false">
      <c r="C173" s="14" t="s">
        <v>1020</v>
      </c>
      <c r="D173" s="14" t="n">
        <f aca="false">COUNTIF($E$5:$E$167,C173)</f>
        <v>23</v>
      </c>
    </row>
    <row r="174" customFormat="false" ht="15" hidden="false" customHeight="true" outlineLevel="0" collapsed="false">
      <c r="C174" s="14" t="s">
        <v>1047</v>
      </c>
      <c r="D174" s="14" t="n">
        <f aca="false">COUNTIF($E$5:$E$167,C174)</f>
        <v>20</v>
      </c>
    </row>
    <row r="175" customFormat="false" ht="15" hidden="false" customHeight="true" outlineLevel="0" collapsed="false">
      <c r="C175" s="14" t="s">
        <v>1098</v>
      </c>
      <c r="D175" s="14" t="n">
        <f aca="false">COUNTIF($E$5:$E$167,C175)</f>
        <v>76</v>
      </c>
    </row>
    <row r="176" customFormat="false" ht="15" hidden="false" customHeight="true" outlineLevel="0" collapsed="false">
      <c r="C176" s="14"/>
      <c r="D176" s="14"/>
    </row>
    <row r="177" customFormat="false" ht="15" hidden="false" customHeight="true" outlineLevel="0" collapsed="false">
      <c r="C177" s="14"/>
      <c r="D177" s="14"/>
    </row>
    <row r="178" customFormat="false" ht="15" hidden="false" customHeight="true" outlineLevel="0" collapsed="false">
      <c r="C178" s="14"/>
      <c r="D178" s="14"/>
    </row>
  </sheetData>
  <autoFilter ref="A4:G170"/>
  <conditionalFormatting sqref="D5:D167">
    <cfRule type="cellIs" priority="2" operator="equal" aboveAverage="0" equalAverage="0" bottom="0" percent="0" rank="0" text="" dxfId="0">
      <formula>4</formula>
    </cfRule>
    <cfRule type="cellIs" priority="3" operator="equal" aboveAverage="0" equalAverage="0" bottom="0" percent="0" rank="0" text="" dxfId="1">
      <formula>3</formula>
    </cfRule>
    <cfRule type="cellIs" priority="4" operator="equal" aboveAverage="0" equalAverage="0" bottom="0" percent="0" rank="0" text="" dxfId="2">
      <formula>2</formula>
    </cfRule>
    <cfRule type="cellIs" priority="5" operator="equal" aboveAverage="0" equalAverage="0" bottom="0" percent="0" rank="0" text="" dxfId="3">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2026-10-19T07:06:40Z</dcterms:created>
  <dc:creator>openpyxl</dc:creator>
  <dc:description/>
  <dc:language>en-US</dc:language>
  <cp:lastModifiedBy/>
  <dcterms:modified xsi:type="dcterms:W3CDTF">2026-10-23T16:33:59Z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