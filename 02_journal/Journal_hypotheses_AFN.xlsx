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Journal" sheetId="2" state="visible" r:id="rId4"/>
    <sheet name="Règles de méthode" sheetId="3" state="visible" r:id="rId5"/>
    <sheet name="Synthèse" sheetId="4" state="visible" r:id="rId6"/>
    <sheet name="Listes" sheetId="5" state="hidden" r:id="rId7"/>
  </sheets>
  <definedNames>
    <definedName function="false" hidden="true" localSheetId="1" name="_xlnm._FilterDatabase" vbProcedure="false">Journal!$A$1:$H$87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<sst xmlns="http://schemas.openxmlformats.org/spreadsheetml/2006/main" count="816" uniqueCount="587">
  <si>
    <t xml:space="preserve">Journal d'hypothèses - TP MEHARI, Alsace Formation Numérique (AFN)</t>
  </si>
  <si>
    <t xml:space="preserve">Version 11 du 23/10/2026 — auteurs : Kleiton KITANI, Ryan AMORY. À utiliser avec le classeur AFN_MEHARI_v04_2026-10-20.xlsm (20 scénarios retenus, 8 risques prioritaires, 12 projets décidés, cibles à 3).</t>
  </si>
  <si>
    <t xml:space="preserve">Contenu</t>
  </si>
  <si>
    <t xml:space="preserve">Journal : le journal lui-même. Les colonnes A à D suivent le modèle imposé par l'énoncé (§7, p.5) : Réf., Hypothèse / observation, Impact sur l'analyse, Validation requise.</t>
  </si>
  <si>
    <t xml:space="preserve">Règles de méthode : ce que l'énoncé, l'introduction aux TP et le guide MEHARI demandent de tracer, avec la page, et les règles de l'équipe (R-21 à R-23).</t>
  </si>
  <si>
    <t xml:space="preserve">Synthèse : comptage automatique des entrées, par type et par statut.</t>
  </si>
  <si>
    <t xml:space="preserve">Rôles de l'équipe (étape 2)</t>
  </si>
  <si>
    <t xml:space="preserve">Binôme : Kleiton KITANI et Ryan AMORY.
Pilote de l'analyse : Kleiton KITANI
Responsable actifs et enjeux : Ryan AMORY
Responsable diagnostic et risques : Kleiton KITANI
Responsable restitution : Ryan AMORY</t>
  </si>
  <si>
    <t xml:space="preserve">Ce qui est dans le journal</t>
  </si>
  <si>
    <t xml:space="preserve">O-01 à O-12 : observations tirées de l'énoncé ou du classeur.
O-13 : paramètre modifié dans le classeur (option de gravité).
O-14 : lignes de périmètre de T1 et T2 (domaines 7, 9, 10, processus 2), conservées.
O-15 : lecture du sous-service 3A09 et rattachement du projet CASE.
O-16 : écarts entre l'échelle de l'énoncé et les niveaux MEHARI, et test de la note directe.
O-17 : révision de la sélection (DBUC05, CEPI02 ; SEXD01 regroupé).
O-18 : décisions du plan (12 projets) et résultat du Tbord.
O-19 et O-20 : défauts du modèle CLUSIF.
O-21 : couverture et ordre du diagnostic.
O-22 : Plans_action (sélections et renvois en colonne AL).
O-23 : échéancier annuel du Tbord.
O-24 : risques résiduels hors sélection.
O-25 : feuille Score ISO 27002.
O-26 : deux réponses à revoir (4A02-01, 4A03-01).
H-01 à H-03 : exemples d'hypothèses donnés par l'énoncé.
H-04 à H-06 : notes de lecture de l'équipe.
H-07 à H-13 : hypothèses du plan de traitement.
H-14 et H-15 : désélections de Classif (archives D05, gouvernance P02).
H-16 à H-29 : hypothèses de maturité ; elles donnent, pour chaque question, la réponse saisie.
H-30 à H-36 : messagerie et fraude au RIB, objectifs de reprise, effet estimé de A01 et A10, phase 2, critère d'acceptation proposé, NIS2, RGPD.
J-01 à J-11 : justifications des niveaux de T1 et T2.
M-01 à M-12 : informations manquantes ; la colonne E renvoie à l'hypothèse qui couvre chacune.
Q-01 : question à l'enseignant (notation de 0 à 4, variante V1 et note directe).</t>
  </si>
  <si>
    <t xml:space="preserve">Résultats du classeur v04</t>
  </si>
  <si>
    <t xml:space="preserve">Sous-services : tous au niveau 1, sauf 6B04 (niveau 2). La gravité actuelle reste égale à la gravité intrinsèque (O-16).
Tbord : aujourd'hui, 19 scénarios inacceptables sur 20. Après le plan (12 projets, cibles à 3) : 0 au niveau 4, 11 au niveau 3, 7 au niveau 2, plus les 2 acceptés de RP-6 : 13 inacceptables. Avec des cibles à 4 (copie) : 2.
Hors sélection : 56 scénarios de gravité 3 aujourd'hui, 38 après le plan (O-24).</t>
  </si>
  <si>
    <t xml:space="preserve">Changements des versions 9 et 10</t>
  </si>
  <si>
    <t xml:space="preserve">Colonne « Correspondance classeur »</t>
  </si>
  <si>
    <t xml:space="preserve">Les codes de sous-services viennent des formules des scénarios (feuille Scénarios, colonnes AC à AF) et des libellés des questions. La colonne indique la réponse saisie pour chaque question et l'effet calculé sur la note du sous-service.</t>
  </si>
  <si>
    <t xml:space="preserve">Sources</t>
  </si>
  <si>
    <t xml:space="preserve">Énoncé « TP MEHARI – Analyse de risques SSI »
« Introduction aux TP : analyse de risques, audit SSI et gouvernance cyber »
CLUSIF, « MEHARI–Standard 2022, Guide de l'utilisateur », Éd. 2, août 2022
Cours « Cybersécurité : normes et standards » BUT3 v2026
Classeur DB-Standard-2022-Ed.2.1 (formules des feuilles Services et Scénarios)
Notes de lecture de l'équipe sur l'énoncé.
Dossier d'analyse MEHARI — AFN ; AFN_Registre_risques_et_feuille_de_route_v5.xlsx.</t>
  </si>
  <si>
    <t xml:space="preserve">Réf.</t>
  </si>
  <si>
    <t xml:space="preserve">Hypothèse / observation</t>
  </si>
  <si>
    <t xml:space="preserve">Impact sur l'analyse</t>
  </si>
  <si>
    <t xml:space="preserve">Type</t>
  </si>
  <si>
    <t xml:space="preserve">Validation requise</t>
  </si>
  <si>
    <t xml:space="preserve">Statut</t>
  </si>
  <si>
    <t xml:space="preserve">Correspondance classeur</t>
  </si>
  <si>
    <t xml:space="preserve">Source exacte</t>
  </si>
  <si>
    <t xml:space="preserve">O-01</t>
  </si>
  <si>
    <t xml:space="preserve">AFN est une PME fictive qui conçoit et dispense des formations professionnelles hybrides ; elle emploie 45 personnes et accueille environ 1 200 apprenants par an.</t>
  </si>
  <si>
    <t xml:space="preserve">Contexte à présenter dans le dossier (partie 2).</t>
  </si>
  <si>
    <t xml:space="preserve">Observation</t>
  </si>
  <si>
    <t xml:space="preserve">Aucune (donnée de l'énoncé).</t>
  </si>
  <si>
    <t xml:space="preserve">Fait établi</t>
  </si>
  <si>
    <t xml:space="preserve">—</t>
  </si>
  <si>
    <t xml:space="preserve">Énoncé TP, §3, p.1</t>
  </si>
  <si>
    <t xml:space="preserve">O-02</t>
  </si>
  <si>
    <t xml:space="preserve">Services numériques exploités : site vitrine, plateforme LMS, messagerie collaborative, CRM, stockage cloud, solution de facturation, postes de travail administratifs.</t>
  </si>
  <si>
    <t xml:space="preserve">Candidats aux actifs à sélectionner dans Classif (étape 10 : « types d'actifs réellement pertinents »).</t>
  </si>
  <si>
    <t xml:space="preserve">Classif</t>
  </si>
  <si>
    <t xml:space="preserve">O-03</t>
  </si>
  <si>
    <t xml:space="preserve">Données traitées : identités et coordonnées des apprenants, dossiers de financement, feuilles d'émargement, résultats d'évaluation, contrats, factures, données RH.</t>
  </si>
  <si>
    <t xml:space="preserve">À classer dans T1 (données) ; chaque niveau élevé doit être justifié (étape 12).</t>
  </si>
  <si>
    <t xml:space="preserve">T1</t>
  </si>
  <si>
    <t xml:space="preserve">Énoncé TP, §3 « Contexte et contraintes », p.2</t>
  </si>
  <si>
    <t xml:space="preserve">O-04</t>
  </si>
  <si>
    <t xml:space="preserve">La plateforme LMS, les visioconférences et la messagerie sont indispensables pendant les périodes de formation.</t>
  </si>
  <si>
    <t xml:space="preserve">Élément utilisable pour justifier une disponibilité élevée ; l'exemple de l'énoncé cote la LMS « D élevée » (p.3).</t>
  </si>
  <si>
    <t xml:space="preserve">Durée d'interruption tolérable non précisée : voir M-07.</t>
  </si>
  <si>
    <t xml:space="preserve">T1 / T2</t>
  </si>
  <si>
    <t xml:space="preserve">Énoncé TP, §3, p.2</t>
  </si>
  <si>
    <t xml:space="preserve">O-05</t>
  </si>
  <si>
    <t xml:space="preserve">Une partie des services est hébergée chez des prestataires cloud ; l'entreprise dispose aussi d'un NAS local et de quelques serveurs virtuels.</t>
  </si>
  <si>
    <t xml:space="preserve">Concerne les actifs « Services externalisés ou hébergés sur le cloud » et « Données externalisées sur le cloud » de Classif.</t>
  </si>
  <si>
    <t xml:space="preserve">Services concernés non précisés : voir M-01.</t>
  </si>
  <si>
    <t xml:space="preserve">Classif S02, D07 ; services 1B07, 3A09, 4A03, 4A04, 5D02 (par intitulé)</t>
  </si>
  <si>
    <t xml:space="preserve">O-06</t>
  </si>
  <si>
    <t xml:space="preserve">Le télétravail est autorisé.</t>
  </si>
  <si>
    <t xml:space="preserve">Lié au périmètre « accès distant » (p.2).</t>
  </si>
  <si>
    <t xml:space="preserve">Mode d'accès distant non décrit : voir M-02.</t>
  </si>
  <si>
    <t xml:space="preserve">Services 1B02 « Télétravail », 6A02 « Travail en dehors des locaux » (par intitulé)</t>
  </si>
  <si>
    <t xml:space="preserve">O-07</t>
  </si>
  <si>
    <t xml:space="preserve">Les comptes administrateurs et les comptes de formateurs disposent de droits variables selon les applications.</t>
  </si>
  <si>
    <t xml:space="preserve">Lié au périmètre « comptes à privilèges » (p.2).</t>
  </si>
  <si>
    <t xml:space="preserve">Règles d'attribution non décrites : voir M-04.</t>
  </si>
  <si>
    <t xml:space="preserve">Services 3A02, 3A06, 3A07, 3A08 (par intitulé)</t>
  </si>
  <si>
    <t xml:space="preserve">O-08</t>
  </si>
  <si>
    <t xml:space="preserve">La direction souhaite renforcer la résilience après plusieurs incidents mineurs : hameçonnage, indisponibilité d'un outil SaaS, erreurs de partage de fichiers, absence ponctuelle de sauvegardes vérifiées.</t>
  </si>
  <si>
    <t xml:space="preserve">L'énoncé (§7, p.5) en tire trois risques exemples : R-01 compromission d'un compte via hameçonnage (LMS, comptes formateurs) ; R-02 divulgation par partage cloud mal configuré (dossiers apprenants) ; R-03 indisponibilité d'un service SaaS critique (continuité des formations).</t>
  </si>
  <si>
    <t xml:space="preserve">Date, fréquence et conséquences non précisées : voir M-06.</t>
  </si>
  <si>
    <t xml:space="preserve">Scénarios dont l'intitulé correspond : DBUC03 (hameçonnage), DBUC02 (diffusion accidentelle d'un fichier), SEXD02 (arrêt de l'infrastructure des services externalisés) ; service 1C06</t>
  </si>
  <si>
    <t xml:space="preserve">Énoncé TP, §3 p.2 ; §7 « Registre des risques prioritaires » p.5</t>
  </si>
  <si>
    <t xml:space="preserve">O-09</t>
  </si>
  <si>
    <t xml:space="preserve">Les moyens financiers sont limités : les recommandations doivent être priorisées et proportionnées.</t>
  </si>
  <si>
    <t xml:space="preserve">Le coût des actions s'exprime en faible / moyen / élevé (étape 25, p.4).</t>
  </si>
  <si>
    <t xml:space="preserve">Montant non précisé : voir M-08.</t>
  </si>
  <si>
    <t xml:space="preserve">Plans_action, Projets</t>
  </si>
  <si>
    <t xml:space="preserve">O-10</t>
  </si>
  <si>
    <t xml:space="preserve">Périmètre minimal obligatoire : inscription et gestion administrative des apprenants ; délivrance des formations à distance ou hybrides ; données personnelles, contractuelles et financières ; messagerie, stockage collaboratif, LMS et accès distant ; postes de travail, comptes à privilèges, sauvegardes et équipements réseau essentiels.</t>
  </si>
  <si>
    <t xml:space="preserve">Tout scénario hors de ce périmètre doit être exclu explicitement (étape 19, p.3).</t>
  </si>
  <si>
    <t xml:space="preserve">T1, Scénarios</t>
  </si>
  <si>
    <t xml:space="preserve">Énoncé TP, §3 « Périmètre minimal obligatoire », p.2</t>
  </si>
  <si>
    <t xml:space="preserve">O-11</t>
  </si>
  <si>
    <t xml:space="preserve">Le classeur utilisé est MEHARI–Standard 2022, édition 2.1 (10/08/2022).</t>
  </si>
  <si>
    <t xml:space="preserve">Citer la version exacte dans la partie « Méthode suivie » du dossier (étape 30).</t>
  </si>
  <si>
    <t xml:space="preserve">Aucune.</t>
  </si>
  <si>
    <t xml:space="preserve">Intro</t>
  </si>
  <si>
    <t xml:space="preserve">Classeur, onglet Intro ; cours normes p.68–69 (« Conserver la traçabilité de la version utilisée »)</t>
  </si>
  <si>
    <t xml:space="preserve">O-12</t>
  </si>
  <si>
    <t xml:space="preserve">Dans le classeur v01, les feuilles Param et Delta sont masquées. Param contient : IndG = 1, Tmax = 0,9, Tmin = 0,9, et les modules Classif, Services, Analyse, Traitement à « FALSE » (non masqués).</t>
  </si>
  <si>
    <t xml:space="preserve">Param est affichée dans le classeur rendu : on y lit IndG (option de gravité, modifiée et tracée en O-13), Tmax et Tmin, sans autre changement. Delta reste masquée : dans cette édition du modèle, ce n'est pas un tableau d'écarts de maturité mais l'historique technique des 1 145 cellules modifiées entre deux versions du modèle CLUSIF (« Référence comparaison : DB-Mehari_Standard_v1-3.xlsm »). Les écarts de maturité (étapes 17 et 26) se lisent dans Projets (niveau actuel → niveau cible) et dans Tbord.</t>
  </si>
  <si>
    <t xml:space="preserve">Aucune (constat sur le classeur).</t>
  </si>
  <si>
    <t xml:space="preserve">Param, Delta</t>
  </si>
  <si>
    <t xml:space="preserve">Classeur (propriétés des feuilles, onglet Param) ; énoncé p.2 et p.4</t>
  </si>
  <si>
    <t xml:space="preserve">O-13</t>
  </si>
  <si>
    <t xml:space="preserve">Paramètre modifié dans le classeur rendu : option de gravité IndG (Param B3, boutons de la feuille Risk%actif) passée de 1 (gravité intrinsèque) à 2 (gravité actuelle). Exposition naturelle, Tmax, Tmin et grille de gravité non modifiés.</t>
  </si>
  <si>
    <t xml:space="preserve">Motif : reporter dans le registre un niveau de risque qui tient compte des services de sécurité évalués par les questionnaires (guide p.42). Ici, gravités actuelle et intrinsèque sont identiques (Tbord, lignes « Intrinsèques » et « Actuels »). La gravité résiduelle (option 3) a été calculée dans des copies du classeur.</t>
  </si>
  <si>
    <t xml:space="preserve">Aucune (choix de l'équipe, tracé comme le demande l'énoncé).</t>
  </si>
  <si>
    <t xml:space="preserve">Param B3 ; Risk%actif ; Scénarios col. Z ; Tbord</t>
  </si>
  <si>
    <t xml:space="preserve">Guide p.42–43 (11.1) ; énoncé §9 p.6 (tracer le motif d'une modification de paramètre)</t>
  </si>
  <si>
    <t xml:space="preserve">O-14</t>
  </si>
  <si>
    <t xml:space="preserve">Les domaines 7 (exploitation du SI), 9 (gestion des données personnelles, contractuelles et financières), 10 (travail à distance) et le processus transverse 2 (sauvegardes) de T1 et T2 ne sont pas des activités métier : ce sont des actifs supports, une catégorie de données ou une mesure de sécurité. Ils reprennent toutefois des éléments du périmètre minimal obligatoire, le domaine 9 mot pour mot. Ils sont donc conservés dans le classeur.</t>
  </si>
  <si>
    <t xml:space="preserve">Conserver ces lignes trace la couverture du périmètre imposé. Elles ne faussent pas la classification : T1 et T2 retiennent le maximum de chaque colonne, déjà atteint par les domaines 2, 3 et 6 et le processus 1. Le dossier les présente comme lignes de périmètre, distinctes des cinq activités métier (étape 7), ce qui répond au premier point de vigilance de l'énoncé.</t>
  </si>
  <si>
    <t xml:space="preserve">Aucune modification du classeur. À préciser dans le dossier (§2, tableau de couverture du périmètre ; §4, activités).</t>
  </si>
  <si>
    <t xml:space="preserve">T1 et T2, lignes 12, 14, 15 et 18 (sélection conservée à 1).</t>
  </si>
  <si>
    <t xml:space="preserve">Énoncé p.2 (périmètre minimal obligatoire) et §9 p.6 (« ne confondez pas… ») ; décision de l'équipe.</t>
  </si>
  <si>
    <t xml:space="preserve">O-15</t>
  </si>
  <si>
    <t xml:space="preserve">Dans le classeur, le sous-service 3A09 « Contrôle d'accès aux systèmes et services externalisés » porte sur l'authentification aux services externalisés (3A09-01 à -03) et sur le filtrage de la navigation (3A09-04 à -06), pas sur les règles de partage des fichiers.</t>
  </si>
  <si>
    <t xml:space="preserve">Le projet CASE (3A09 → 4) correspond au MFA des services cloud (action A02) et non aux règles de partage (action A08). Rattachement à corriger dans le registre et la feuille de route ; l'effet de A08 est traité selon R-23 (voir H-27).</t>
  </si>
  <si>
    <t xml:space="preserve">À reporter dans le registre et la feuille de route (A02, A08, projet CASE).</t>
  </si>
  <si>
    <t xml:space="preserve">3 Sys, 3A09-01 à -06 ; projet CASE ; scénario DEXC01 (prévention max(3A09,5G02)).</t>
  </si>
  <si>
    <t xml:space="preserve">Classeur, feuille 3 Sys (libellés des questions 3A09).</t>
  </si>
  <si>
    <t xml:space="preserve">O-16</t>
  </si>
  <si>
    <t xml:space="preserve">Lecture des écarts entre l'échelle de l'énoncé (étape 15 : 0 inexistant, 1 partiel, 2 en place mais incomplet, 3 correctement mis en œuvre, 4 mature et documenté) et les niveaux MEHARI. Mesures de base en place mais non pilotées (2 sur l'échelle de l'énoncé) : 4A02 antivirus et mises à jour des postes (H-16), 4A03 sauvegardes automatiques du NAS (H-19), 6B04 synchronisation des postes (H-19), 5B01 chiffrement TLS des flux SaaS (H-20). Mesures partielles (1) : 3A04 identifiant et mot de passe, 3A09 accès aux services cloud sans MFA imposé, 1B02 VPN. Mesures absentes (0) : 1C06, 3A07, 3A08, 4A04, 4A10, 5D02, 6B01, 6B03, 6C02. MEHARI note tous ces sous-services au niveau 1, sauf 6B04 (niveau 2).</t>
  </si>
  <si>
    <t xml:space="preserve">Deux causes : les questions de MEHARI portent surtout sur le pilotage, la vérification, l'audit et la copie hors site, que l'existant n'assure pas ; et le classeur ne descend pas sous le niveau 1, ce qui confond « absent » et « partiel ». Test de sensibilité sur une copie du classeur : l'échelle de l'énoncé ci-dessus saisie en note directe sur la ligne d'en-tête de chaque sous-service (voir Q-01) donne exactement les mêmes niveaux dans Services et ne change aucune des 183 gravités. Le résultat « gravité actuelle = gravité intrinsèque » ne dépend donc pas de la façon de noter. Il reste que 286 réponses sur 300 sont « non » : le diagnostic est pessimiste par construction, car la plupart des hypothèses décrivent une mesure absente (limite à signaler, voir R-21). Conséquence pour le plan : deux marches différentes, piloter et vérifier l'existant (2 → 3 : A04, A05) et créer ce qui manque (0 → 3 : A02, A03, A07).</t>
  </si>
  <si>
    <t xml:space="preserve">À reprendre dans le dossier (§5 et limites) et dans la restitution.</t>
  </si>
  <si>
    <t xml:space="preserve">Services, colonnes D, H et J ; notes calculées : 4A02 0,92 ; 4A03 0,8 ; 6B04 1,6 ; 5B01 1,0 ; 3A04 0,21 ; 3A09 0,8 ; 1B02 1,0 ; autres 0. Test : '4 Ope'!C14 (4A02) = 2, C24 (4A03) = 2, '6 Mic'!C58 (6B04) = 2, '5 App'!C51 (5B01) = 2, '3 Sys'!C28 (3A04) = 1, C92 (3A09) = 1, '1 Org'!C40 (1B02) = 1 : niveaux identiques, 0 gravité modifiée.</t>
  </si>
  <si>
    <t xml:space="preserve">Énoncé p.3, étapes 15 et 17 ; classeur, formules de la feuille Services ; test sur copie du classeur rendu (19/10/2026).</t>
  </si>
  <si>
    <t xml:space="preserve">O-17</t>
  </si>
  <si>
    <t xml:space="preserve">Révision de la sélection après relecture critique (classeur v03). DAPC02 (captation de données applicatives en transit) est remplacé par DBUC05 (même événement AH.L.Cap, même mesure 5B01) : les flux exposés sur le réseau local sont ceux des fichiers bureautiques du NAS (D02), pas des données applicatives. SEXD01 (absence du prestataire) est regroupé avec SEXD02 (panne de l'infrastructure du prestataire) : même actif S02, même gravité (3, puis 2 après le plan), même traitement (PSSE, DIDE). La place libérée est donnée à CEPI02 (émission de faux courriels au nom d'AFN), qui couvre la fraude au changement de RIB et l'activité « Facturation et encaissement », jusque-là sans scénario (J-11).</t>
  </si>
  <si>
    <t xml:space="preserve">La sélection reste à 20 scénarios (limite de l'étape 19) et le réseau reste couvert (DBUC05, conditionnel à H-20). Les totaux ne changent pas : 19 scénarios inacceptables aujourd'hui ; après le plan, 13 avec des cibles à 3 (classeur v04) et 2 avec des cibles à 4. CEPI02 donne un huitième risque prioritaire (RP-8, usurpation de l'identité d'AFN par courriel). SEXD01 est conservé dans le registre comme scénario regroupé ; la défaillance d'un prestataire reste traitée par la réversibilité des contrats (A06) et le mode dégradé (A07).</t>
  </si>
  <si>
    <t xml:space="preserve">Aucune (choix de l'équipe, à présenter dans le dossier).</t>
  </si>
  <si>
    <t xml:space="preserve">Scénarios I40 (DAPC02) = 0 ; I80 (DBUC05) = 1 ; I110 (CEPI02) = 1 ; I198 (SEXD01) = 0. Prévention de DBUC05 : 5B01 ; de CEPI02 : 6B03.</t>
  </si>
  <si>
    <t xml:space="preserve">Classeur AFN_MEHARI_v04_2026-10-20.xlsm, feuille Scénarios ; relecture critique du 19/10/2026.</t>
  </si>
  <si>
    <t xml:space="preserve">O-18</t>
  </si>
  <si>
    <t xml:space="preserve">Décisions du plan (classeur v04) : 12 projets décidés, PMAL, CASA, SADC, DIDE, PSSE, CASE, SUAI, SMEL, CHDB, SAMP, CHED et CPEX. Leurs niveaux cibles sont fixés à 3 (« correctement mis en œuvre ») dans la feuille Projets : 17 cibles ramenées de 4 à 3, pour que le classeur montre l'objectif atteignable en six mois avec un responsable IT à temps partiel (H-13). CPEX est décidé du 02/12/2026 au 01/03/2027 : PGCE01 n'est pas accepté, car une non-conformité légale ne s'accepte pas. CHDB est daté du 02/12/2026 au 01/02/2027.</t>
  </si>
  <si>
    <t xml:space="preserve">Tbord : aujourd'hui, 16 scénarios de niveau 3, 1 de niveau 4 et 1 de niveau 2, plus 2 acceptés de niveau 3 : 19 inacceptables sur 20. Après le plan : 0 au niveau 4, 11 au niveau 3, 7 au niveau 2, plus les 2 acceptés de niveau 3 : 13 inacceptables sur 20. Avec des cibles à 4, simulées sur une copie, il n'en resterait que 2, les acceptés de RP-6 : c'est l'horizon de 12 à 18 mois. Sel_Projets, relancée avec les cibles à 3, propose CHDA, SUBU, PCDE et PIDA : aucun n'est décidé, ils deviennent les candidats de la phase 2 (H-33).</t>
  </si>
  <si>
    <t xml:space="preserve">À valider par la direction avec le plan.</t>
  </si>
  <si>
    <t xml:space="preserve">Projets D:F des lignes 8, 9, 11, 14, 25, 26, 29, 36, 43, 44, 46, 71 ; niveaux cibles I11, L11, I25, L25, O25, R25, I26, I29, I36, L36, I43, I44, I46, L46, I71, L71, O71 = 3 ; Sel_Projets Tab-2 (CHDA, SUBU, PCDE, PIDA) ; Tbord lignes 4 à 7.</t>
  </si>
  <si>
    <t xml:space="preserve">Classeur AFN_MEHARI_v04_2026-10-20.xlsm, feuilles Projets, Sel_Projets et Tbord (20/10/2026).</t>
  </si>
  <si>
    <t xml:space="preserve">O-19</t>
  </si>
  <si>
    <t xml:space="preserve">La feuille Risk%event du modèle ne compte que 6 des 20 scénarios retenus : elle utilise d'anciens codes d'événements (MA.L…, AB.S.Ene…) alors que la base de scénarios utilise les nouveaux (AH.L…, AB.S.Ser…). L'hameçonnage, le vol, la falsification, la panne de prestataire et les abus internes n'y apparaissent pas. Le défaut existait déjà dans le classeur v01.</t>
  </si>
  <si>
    <t xml:space="preserve">La vue par événement demandée à l'étape 20 n'est pas fiable dans cette édition. Elle est remplacée par un décompte à partir de la colonne F (événement) de la feuille Scénarios ; à signaler dans les limites du dossier.</t>
  </si>
  <si>
    <t xml:space="preserve">Aucune (défaut du modèle CLUSIF, non corrigé pour ne pas modifier ses formules).</t>
  </si>
  <si>
    <t xml:space="preserve">Risk%event, cellules D37:H38 (« Nombre total de scénarios : 6 ») ; Scénarios, colonne F.</t>
  </si>
  <si>
    <t xml:space="preserve">Classeur, feuilles Risk%event et Scénarios ; énoncé p.3, étape 20.</t>
  </si>
  <si>
    <t xml:space="preserve">O-20</t>
  </si>
  <si>
    <t xml:space="preserve">Défauts hérités du modèle, présents dès le classeur v01 : une liaison externe vers un fichier de l'auteur du modèle, utilisée par les formules de la ligne 150 de 4 Ope (sous-service 4B02, non audité) ; des erreurs de référence (REF) dans Obj_Projets (8), Scénarios (31, lignes techniques en bas de feuille) et Plans_action (2), et quelques noms définis cassés ; la cellule Projets!Q8 contenait la formule =ES6B07 sous forme de texte ; les cellules Plans_action!J173 et J174 (GPES et PSSE, famille SEXD) sont verrouillées alors que les autres cellules de sélection ne le sont pas.</t>
  </si>
  <si>
    <t xml:space="preserve">Sans effet sur les résultats : aucun de ces éléments n'entre dans les sous-services audités ni dans les scénarios retenus. Projets!Q8 a été corrigée (formule rétablie, affiche 0). J174 a été saisie après retrait temporaire de la protection de la feuille, puis la protection a été remise. À l'ouverture, répondre « Ne pas mettre à jour » si Excel propose de mettre à jour les liaisons.</t>
  </si>
  <si>
    <t xml:space="preserve">Aucune. À mentionner dans les limites du dossier.</t>
  </si>
  <si>
    <t xml:space="preserve">4 Ope U150:Z150 ; Obj_Projets ; Scénarios lignes 219 et suivantes ; Plans_action AK79, AK103, J173, J174 ; Projets Q8.</t>
  </si>
  <si>
    <t xml:space="preserve">Classeur v01 et v02 (comparaison cellule par cellule).</t>
  </si>
  <si>
    <t xml:space="preserve">O-21</t>
  </si>
  <si>
    <t xml:space="preserve">Couverture du diagnostic : 300 questions réparties sur 35 sous-services. Ces sous-services sont ceux qui pilotent les scénarios retenus : l'ordre suivi inverse le cycle MEHARI, qui diagnostique d'abord l'ensemble des services puis sélectionne les scénarios. Le questionnaire 7 Dev (développement) n'est pas renseigné : AFN ne développe pas de logiciels et ses applications métier sont des services SaaS (H-18). Le questionnaire 2 Phy n'est renseigné que pour 2D01 à 2D03, qui pilotent DBUC10-b (H-29). Les commentaires sont regroupés par hypothèse : 83 commentaires distincts pour 300 réponses, chacun citant l'hypothèse ou la source qui fonde la réponse.</t>
  </si>
  <si>
    <t xml:space="preserve">Choix assumé, à présenter comme une limite : les 118 sous-services non audités restent au niveau 1 par défaut, si bien que les comptages sur la base complète (183 scénarios) ne mesurent pas la situation d'AFN et ne sont pas présentés à la direction. Aucun sous-service non audité ne pilote un scénario retenu : tous ceux qui interviennent dans les formules des 20 scénarios ont une réponse.</t>
  </si>
  <si>
    <t xml:space="preserve">Aucune. À mentionner dans la méthode et les limites du dossier.</t>
  </si>
  <si>
    <t xml:space="preserve">Questionnaires 1 à 8, colonnes C et K ; Services, colonnes D et J.</t>
  </si>
  <si>
    <t xml:space="preserve">Classeur v04 ; énoncé p.3, étape 14.</t>
  </si>
  <si>
    <t xml:space="preserve">O-22</t>
  </si>
  <si>
    <t xml:space="preserve">Plans_action est complété : 20 sélections en colonne J, une par projet décidé et par famille de scénarios où ce projet réduit au moins un scénario retenu. La colonne AL, ajoutée par l'équipe et titrée « Plan d'action (détail : fichier de pilotage) », donne pour chaque projet décidé, sur sa première ligne de sélection, les actions, le responsable, l'échéance, les prérequis et l'indicateur demandés par l'étape 23.</t>
  </si>
  <si>
    <t xml:space="preserve">Répond à l'étape 23 dans le classeur lui-même. La colonne AL était vide : aucune formule du classeur ni aucune macro ne la lit (vérifié dans le code des macros Sel_Projets et Tbord, qui ne lisent que les colonnes A, D et E de Plans_action). Le détail complet du plan reste dans la feuille de route du fichier de pilotage.</t>
  </si>
  <si>
    <t xml:space="preserve">Plans_action J11, J13, J17, J25, J29, J35, J42, J45, J60, J61, J63, J65, J88, J91, J123, J131, J145, J147, J174, J193 = 1 ; AL3 (titre) et AL11, AL13, AL17, AL42, AL60, AL61, AL65, AL88, AL123, AL131, AL174, AL193 (renvois) ; Projets C4:C72.</t>
  </si>
  <si>
    <t xml:space="preserve">Classeur v04, feuilles Plans_action et Projets ; énoncé §6 (livrable 1) ; onglet Intro du modèle.</t>
  </si>
  <si>
    <t xml:space="preserve">O-23</t>
  </si>
  <si>
    <t xml:space="preserve">Le Tbord présente l'évolution des risques par années : la macro « Actualiser » réécrit la ligne 14 à chaque exécution (date du jour, puis le 1er janvier des années suivantes). Il n'est donc pas possible d'y afficher les mois 2, 4 et 6 du plan.</t>
  </si>
  <si>
    <t xml:space="preserve">Lecture : au 01/01/2027 (fin du mois 2), PMAL et les autres projets ne sont pas terminés, d'où 1 niveau 4 et 16 niveaux 3 ; au 01/01/2028, tous les projets sont terminés : 0 niveau 4 et 11 niveaux 3. L'évolution par mois (M2, M4, M6) est donnée dans le fichier de pilotage et dans le dossier.</t>
  </si>
  <si>
    <t xml:space="preserve">Aucune (comportement du modèle).</t>
  </si>
  <si>
    <t xml:space="preserve">Tbord, ligne 14 (dates) et lignes 15–16 ; macro Tbord (T0 = Date, TX = 01/01/année suivante).</t>
  </si>
  <si>
    <t xml:space="preserve">Classeur v04, code de la macro Tbord ; capture du Tbord du 20/10/2026.</t>
  </si>
  <si>
    <t xml:space="preserve">O-24</t>
  </si>
  <si>
    <t xml:space="preserve">Scénarios non retenus restant au niveau 3 : 56 scénarios non retenus sont de gravité 3 aujourd'hui ; 38 le restent après le plan (cibles à 3), dont 3 hors périmètre (courrier postal) et 35 non évalués. Beaucoup ne sont au niveau 3 que parce que leurs sous-services ne sont pas audités et restent au plancher de 1 : ce sont en partie des effets de méthode.</t>
  </si>
  <si>
    <t xml:space="preserve">Ils ne sont ni cachés ni acceptés : accepter un risque non analysé ne serait pas une décision éclairée (ISO/IEC 27001 §6.1.3), et « aucun incident connu » ne prouve pas l'absence de risque (R-05). Ils sont requalifiés « non évalués dans cette itération » : la direction prend acte de cette limite de périmètre, et leur évaluation est prévue à M6 avec un diagnostic étendu. L'onglet « Risques résiduels » du registre les liste un par un.</t>
  </si>
  <si>
    <t xml:space="preserve">Prise d'acte par la direction (action A12) ; évaluation à M6.</t>
  </si>
  <si>
    <t xml:space="preserve">Scénarios, colonnes I et Z (copies recalculées, tous scénarios sélectionnés, option 3).</t>
  </si>
  <si>
    <t xml:space="preserve">Classeur v04 ; cours « Normes et standards » (faire approuver les acceptations) ; ISO/IEC 27001 §6.1.3.</t>
  </si>
  <si>
    <t xml:space="preserve">O-25</t>
  </si>
  <si>
    <t xml:space="preserve">La feuille « Score ISO 27002:2022 » du classeur calcule un score sur 10 par mesure à partir des réponses. Seules quatre mesures ont un score non nul : 6.7 travail à distance (3,3), 8.5 authentification sécurisée (3,3), 8.7 protection contre les programmes malveillants (3,3), 8.13 sauvegarde des informations (5).</t>
  </si>
  <si>
    <t xml:space="preserve">Confirme le constat de maturité faible. Chaque action de la feuille de route est rattachée à ses mesures ISO 27002:2022 (colonne « Services MEHARI à améliorer », mention ISO), ce qui relie le plan MEHARI à la séquence ISO 27001/27002 du cours.</t>
  </si>
  <si>
    <t xml:space="preserve">Feuille Score ISO, colonne F ; feuille de route du fichier de pilotage, colonne F.</t>
  </si>
  <si>
    <t xml:space="preserve">Classeur v04 ; cours « Normes et standards ».</t>
  </si>
  <si>
    <t xml:space="preserve">O-26</t>
  </si>
  <si>
    <t xml:space="preserve">Deux réponses du diagnostic sont à revoir : 4A02-01 (protection contre les programmes malveillants « appuyée par la sensibilisation des utilisateurs ») et 4A03-01 (plan de sauvegarde « couvrant l'ensemble des objets ») sont à « oui », alors que la sensibilisation est absente (1C06 à 0, H-23) et que les données SaaS ne sont pas couvertes (H-19).</t>
  </si>
  <si>
    <t xml:space="preserve">Incohérence avec la règle R-21, relevée en relecture. Les passer à « non » ne change aucun niveau (4A02 et 4A03 restent au niveau 1) ni aucune gravité ; elles seront corrigées à la réévaluation de M6.</t>
  </si>
  <si>
    <t xml:space="preserve">Correction à la réévaluation de M6.</t>
  </si>
  <si>
    <t xml:space="preserve">4 Ope, 4A02-01 et 4A03-01 (colonne C = 1).</t>
  </si>
  <si>
    <t xml:space="preserve">Classeur v04 ; relecture critique.</t>
  </si>
  <si>
    <t xml:space="preserve">H-01</t>
  </si>
  <si>
    <t xml:space="preserve">Le MFA n'est pas systématiquement activé pour les comptes administrateurs.</t>
  </si>
  <si>
    <t xml:space="preserve">Augmente le risque de compromission de compte.</t>
  </si>
  <si>
    <t xml:space="preserve">Hypothèse</t>
  </si>
  <si>
    <t xml:space="preserve">À confirmer par le responsable IT.</t>
  </si>
  <si>
    <t xml:space="preserve">Services 3A03, 3A06, 3A07 (par intitulé)</t>
  </si>
  <si>
    <t xml:space="preserve">Énoncé TP, §7 « Journal des hypothèses », p.5 (exemple du prof)</t>
  </si>
  <si>
    <t xml:space="preserve">H-02</t>
  </si>
  <si>
    <t xml:space="preserve">Les sauvegardes cloud ne font pas l'objet de tests de restauration trimestriels.</t>
  </si>
  <si>
    <t xml:space="preserve">Risque de reprise incertaine après incident.</t>
  </si>
  <si>
    <t xml:space="preserve">À confirmer par l'équipe exploitation.</t>
  </si>
  <si>
    <t xml:space="preserve">Service 4A04 « Sauvegarde de recours des données externalisées » (par intitulé)</t>
  </si>
  <si>
    <t xml:space="preserve">Énoncé TP, §7, p.5 (exemple du prof)</t>
  </si>
  <si>
    <t xml:space="preserve">H-03</t>
  </si>
  <si>
    <t xml:space="preserve">Les données de formation sont hébergées chez un prestataire situé dans l'UE.</t>
  </si>
  <si>
    <t xml:space="preserve">Aucune cotation modifiée. L'hébergement dans l'UE ne dispense pas d'analyser les exigences des législations nationales : 8A01-07 reste à 0. Sert aussi à la clause de localisation des données de l'action A06.</t>
  </si>
  <si>
    <t xml:space="preserve">À vérifier dans le contrat.</t>
  </si>
  <si>
    <t xml:space="preserve">1B07 ; 8A01-07 = 0 (différences de législations non analysées).</t>
  </si>
  <si>
    <t xml:space="preserve">H-04</t>
  </si>
  <si>
    <t xml:space="preserve">Les serveurs virtuels reposent sur un hyperviseur local.</t>
  </si>
  <si>
    <t xml:space="preserve">Concerne l'infrastructure interne (questionnaire 3 Sys, rubrique 3B « Sûreté de fonctionnement de l'architecture interne »).</t>
  </si>
  <si>
    <t xml:space="preserve">À confirmer : l'énoncé dit seulement « quelques serveurs virtuels ».</t>
  </si>
  <si>
    <t xml:space="preserve">3 Sys (3B01)</t>
  </si>
  <si>
    <t xml:space="preserve">Notes de lecture de l'équipe (« Hyperviseur + Prestataires ») sur l'énoncé p.2</t>
  </si>
  <si>
    <t xml:space="preserve">H-05</t>
  </si>
  <si>
    <t xml:space="preserve">Accès distant : les services SaaS sont utilisés directement depuis Internet avec identifiant et mot de passe ; le NAS et les serveurs virtuels sont joints par un VPN, sans MFA ni contrôle de conformité du poste.</t>
  </si>
  <si>
    <t xml:space="preserve">Périmètre « accès distant » (O-06). Une mesure existe (le VPN) : 1B02-01 = 1 ; elle n'est ni encadrée ni contrôlée : 1B02-02, 1B02-03 et 6A02-06 = 0. Rend pertinent le scénario DBUC01-e (diffusion par un proche d'un utilisateur en télétravail). L'accès distant avec un compte volé est couvert par DAPC01-b pour les outils internes joints par le VPN (RP-2) et par DEXC01 pour les services cloud (RP-5) : un tiers utilise des identifiants obtenus par hameçonnage, et ni le VPN ni les services SaaS n'imposent de MFA.</t>
  </si>
  <si>
    <t xml:space="preserve">À confirmer par le responsable IT (M-02).</t>
  </si>
  <si>
    <t xml:space="preserve">1B02-01 = 1 ; 1B02-02, -03 = 0 ; 6A02-06 = 0 ; scénarios DBUC01-e, DAPC01-b, DEXC01. Effet calculé : 1B02 reste à 1,0 (niveau 1).</t>
  </si>
  <si>
    <t xml:space="preserve">Notes de lecture de l'équipe (« Probablement un VPN ») sur l'énoncé p.2.</t>
  </si>
  <si>
    <t xml:space="preserve">H-06</t>
  </si>
  <si>
    <t xml:space="preserve">La répartition des droits entre comptes administrateurs et formateurs est ambiguë.</t>
  </si>
  <si>
    <t xml:space="preserve">Concerne la gestion des autorisations et des accès privilégiés.</t>
  </si>
  <si>
    <t xml:space="preserve">À confirmer : l'énoncé dit seulement « droits variables selon les applications » (M-04).</t>
  </si>
  <si>
    <t xml:space="preserve">Services 3A02, 3A06 (par intitulé)</t>
  </si>
  <si>
    <t xml:space="preserve">Notes de lecture de l'équipe (« Droits ambigus ») sur l'énoncé p.2</t>
  </si>
  <si>
    <t xml:space="preserve">H-07</t>
  </si>
  <si>
    <t xml:space="preserve">Les feuilles d'émargement sont numériques.</t>
  </si>
  <si>
    <t xml:space="preserve">Rattachées aux données applicatives (T1 domaine 4) ; type D03 (documents papier) désélectionné.</t>
  </si>
  <si>
    <t xml:space="preserve">À confirmer : l'énoncé ne précise pas leur support.</t>
  </si>
  <si>
    <t xml:space="preserve">T1 domaine 4 ; Classif H6</t>
  </si>
  <si>
    <t xml:space="preserve">Énoncé p.2 (« feuilles d'émargement »)</t>
  </si>
  <si>
    <t xml:space="preserve">H-08</t>
  </si>
  <si>
    <t xml:space="preserve">Échelle de coût : faible = outils déjà en place, au plus 3 jours-homme et sans dépense externe notable ; moyen = achat ou abonnement d'un outil, ou 4 à 10 jours-homme ; élevé = projet de plusieurs mois ou plus de 10 jours-homme. Les jours du prestataire d'exploitation sont valorisés à 700 € HT par jour, le temps interne à 350 € chargés par jour (coût d'opportunité). Le MFA n'est gratuit que si les licences SaaS l'incluent avec l'accès conditionnel ; sinon, compter environ 3 à 6 € par utilisateur et par mois.</t>
  </si>
  <si>
    <t xml:space="preserve">Colonne Charge / coût de la feuille de route. Le total permet de vérifier que le plan est proportionné aux moyens d'AFN et à un responsable IT à temps partiel (H-26). Aucune action n'est classée Élevé.</t>
  </si>
  <si>
    <t xml:space="preserve">À valider par la direction (budget inconnu, M-08 ; taux du prestataire à confirmer).</t>
  </si>
  <si>
    <t xml:space="preserve">Feuille de route (fichier de pilotage)</t>
  </si>
  <si>
    <t xml:space="preserve">Énoncé étape 25, p.4 (faible / moyen / élevé)</t>
  </si>
  <si>
    <t xml:space="preserve">H-09</t>
  </si>
  <si>
    <t xml:space="preserve">Le MFA est inclus dans les abonnements SaaS d'AFN.</t>
  </si>
  <si>
    <t xml:space="preserve">Coût faible de l'action A02 ; sinon coût moyen.</t>
  </si>
  <si>
    <t xml:space="preserve">À confirmer par le responsable IT (M-01).</t>
  </si>
  <si>
    <t xml:space="preserve">Projet CASA (3A07)</t>
  </si>
  <si>
    <t xml:space="preserve">Hypothèse de l'équipe</t>
  </si>
  <si>
    <t xml:space="preserve">H-10</t>
  </si>
  <si>
    <t xml:space="preserve">Le plan de traitement est validé par la direction début novembre 2026 (M0 = 02/11/2026).</t>
  </si>
  <si>
    <t xml:space="preserve">Dates indicatives de la feuille de route et dates des projets.</t>
  </si>
  <si>
    <t xml:space="preserve">À valider par la direction.</t>
  </si>
  <si>
    <t xml:space="preserve">Projets, colonnes E et F</t>
  </si>
  <si>
    <t xml:space="preserve">H-11</t>
  </si>
  <si>
    <t xml:space="preserve">Responsables des actions : Responsable IT, Exploitation (prestataire), Référent SSI (qui porte aussi la conformité : un seul référent pour une PME de 45 personnes), Direction, RH. Propriétaires des risques, choisis parmi les responsables métier qui ont autorité pour décider et accepter le risque résiduel : la Direction pour RP-1, RP-2, RP-6 et RP-7 ; la Direction administrative et financière pour RP-3, RP-5 et RP-8 ; le Responsable pédagogique pour RP-4.</t>
  </si>
  <si>
    <t xml:space="preserve">Colonne Responsable de la feuille de route et colonne « Propriétaire du risque » du registre. Le propriétaire n'est jamais celui qui exécute les actions (le responsable IT n'est propriétaire d'aucun risque).</t>
  </si>
  <si>
    <t xml:space="preserve">À valider par la direction (organisation non décrite, M-09).</t>
  </si>
  <si>
    <t xml:space="preserve">Énoncé §7, p.5–6 (rôles cités dans les modèles) ; cours « Normes et standards » p.37 (propriétaires).</t>
  </si>
  <si>
    <t xml:space="preserve">H-12</t>
  </si>
  <si>
    <t xml:space="preserve">Un compte volé par hameçonnage sert à accéder aux données : outils internes joints par le VPN (DAPC01-b, DAPI01-a) ou services cloud (DEXC01). Un lien de partage mal configuré permet aussi le téléchargement de données cloud (DEXC01).</t>
  </si>
  <si>
    <t xml:space="preserve">Rattachement de ces scénarios aux exemples R-01 et R-02 de l'énoncé.</t>
  </si>
  <si>
    <t xml:space="preserve">Interprétation de l'équipe.</t>
  </si>
  <si>
    <t xml:space="preserve">Scénarios lignes 26, 38, 144</t>
  </si>
  <si>
    <t xml:space="preserve">Énoncé §7, p.5 (R-01, R-02)</t>
  </si>
  <si>
    <t xml:space="preserve">H-13</t>
  </si>
  <si>
    <t xml:space="preserve">Les niveaux cibles des projets décidés sont fixés à 3 (« correctement mis en œuvre ») dans le classeur rendu ; les cibles par défaut du modèle, souvent 4 (« mature et documenté »), sont évaluées sur une copie.</t>
  </si>
  <si>
    <t xml:space="preserve">Gravité après plan dans le classeur : 13 scénarios retenus inacceptables (11 réduits au niveau 3 et les 2 acceptés de RP-6). Avec des cibles à 4 : 2, les acceptés de RP-6. Le premier chiffre est l'objectif à six mois présenté à la direction ; le second est un horizon de 12 à 18 mois.</t>
  </si>
  <si>
    <t xml:space="preserve">Projets, colonnes « Niveau cible » (17 cellules à 3) ; copie de simulation avec les cibles d'origine à 4.</t>
  </si>
  <si>
    <t xml:space="preserve">Classeur, feuille Projets</t>
  </si>
  <si>
    <t xml:space="preserve">H-14</t>
  </si>
  <si>
    <t xml:space="preserve">AFN ne gère pas d'archives distinctes de ses données courantes.</t>
  </si>
  <si>
    <t xml:space="preserve">Type D05 (archives) désélectionné dans Classif (H8 = 0) : aucun scénario portant sur des archives n'est évalué.</t>
  </si>
  <si>
    <t xml:space="preserve">À confirmer : l'énoncé ne mentionne pas d'archives.</t>
  </si>
  <si>
    <t xml:space="preserve">Classif H8</t>
  </si>
  <si>
    <t xml:space="preserve">Énoncé p.2 (liste des données traitées)</t>
  </si>
  <si>
    <t xml:space="preserve">H-15</t>
  </si>
  <si>
    <t xml:space="preserve">Le processus de gouvernance et de prise de décision (P02) n'est pas coté.</t>
  </si>
  <si>
    <t xml:space="preserve">P02 non coté dans T2 et désélectionné dans Classif (H18 = 0) : aucun scénario de gouvernance n'est évalué. La gouvernance SSI est traitée par l'action A12 (référent SSI, grille d'acceptation).</t>
  </si>
  <si>
    <t xml:space="preserve">À confirmer : l'énoncé ne décrit pas le processus de décision d'AFN.</t>
  </si>
  <si>
    <t xml:space="preserve">T2 colonne L ; Classif H18</t>
  </si>
  <si>
    <t xml:space="preserve">Énoncé p.1–2 (aucune description du processus de décision)</t>
  </si>
  <si>
    <t xml:space="preserve">H-16</t>
  </si>
  <si>
    <t xml:space="preserve">Postes de travail : les postes des 45 salariés sont des postes Windows fournis par AFN, en majorité des portables (télétravail) ; les formateurs extérieurs utilisent leur propre ordinateur (H-21). L'antivirus intégré au système est actif et se met à jour automatiquement ; les mises à jour du système sont automatiques sur les postes, mais le NAS et les serveurs virtuels ne suivent aucun processus de correctifs. Pas de console centrale, pas d'inventaire à jour, chiffrement du disque non activé systématiquement.</t>
  </si>
  <si>
    <t xml:space="preserve">Remplace « Information manquante » dans 4A02 et 6B01. La protection existe mais n'est ni pilotée ni vérifiée : 4A02 reste faible. Le chiffrement des portables (A09) part de zéro.</t>
  </si>
  <si>
    <t xml:space="preserve">À confirmer par le responsable IT (inventaire des postes, M-11).</t>
  </si>
  <si>
    <t xml:space="preserve">4A02-01 = 1 ; 4A02-05 = 1 ; 4A02-02 à -04 et -06 à -09 = 0 ; 6B01-01 = 0. Effet calculé : 4A02 passe de 0 à 0,92 (niveau 1 inchangé).</t>
  </si>
  <si>
    <t xml:space="preserve">Hypothèse de l'équipe ; énoncé p.2 (postes de travail dans le périmètre).</t>
  </si>
  <si>
    <t xml:space="preserve">H-17</t>
  </si>
  <si>
    <t xml:space="preserve">La messagerie, le stockage collaboratif et la visioconférence sont fournis par une même suite collaborative SaaS, utilisée avec sa configuration par défaut : filtrage natif des spams et des pièces jointes malveillantes, MFA disponible mais non imposé (H-01).</t>
  </si>
  <si>
    <t xml:space="preserve">Identifie les services cloud (M-01) : Classif S02 et D07. Le MFA disponible fonde le coût faible de A02 (H-09). Le filtrage natif est pris en compte dans 4A02-01 ; aucune question de 6B03 ne le couvre.</t>
  </si>
  <si>
    <t xml:space="preserve">Classif S02, D07 ; 3A09-01 = 1 ; 3A09-02 à -06 = 0 ; 6B03-01 à -09 = 0. Effet calculé : 3A09 = 0,8 (niveau 1).</t>
  </si>
  <si>
    <t xml:space="preserve">Hypothèse de l'équipe ; énoncé p.1 (messagerie collaborative, stockage cloud).</t>
  </si>
  <si>
    <t xml:space="preserve">H-18</t>
  </si>
  <si>
    <t xml:space="preserve">Le LMS, le CRM et la solution de facturation sont des services SaaS : les données des domaines 1, 3, 4 et 5 (inscription, formations, émargements et évaluations, facturation) sont des données externalisées (D07). Le NAS et les serveurs virtuels hébergent les fichiers bureautiques partagés, dont les fichiers RH, et quelques outils internes, dont un outil de suivi des dossiers administratifs et de financement des apprenants et des contrats : les données des domaines 2 et 9 existent donc à la fois dans ces outils internes (D01) et dans le stockage cloud (D07).</t>
  </si>
  <si>
    <t xml:space="preserve">Fonde la répartition de T1 : D07 pour les domaines 1, 3, 4, 5 ; D01 et D07 pour les domaines 2 et 9. Les scénarios D01 retenus (DAPD02, DAPD03, DAPI01-a, DAPI01-b, DAPC01-a, DAPC01-b) portent donc sur les outils internes des serveurs virtuels, sauvegardés avec le NAS (4A03, H-19) ; les données du LMS et des autres services SaaS relèvent de DEXD01 et DEXC01 (4A04, 3A09). Fonde aussi T2 : services externalisés (S02) pour les domaines 1 à 5, services internes (S01) pour le domaine 6. Les protections applicatives (5A02, 5A03, 5B02) dépendent des éditeurs (projets CHDA et PIDA reportés en phase 2).</t>
  </si>
  <si>
    <t xml:space="preserve">T1 lignes 6, 8, 9, 10 : colonnes T à V (D07) ; lignes 7 et 14 : colonnes D à F (D01) et T à V (D07) ; T2, colonnes D à H ; Classif S01, S02 ; projets CHDA, PIDA. 5A02-01 à -07 = 0 ; 5A03-01 à -06 = 0 ; 5B02-01 à -06 = 0 ; 5G02-01 à -05 = 0. Effet du passage en D07 : aucune gravité modifiée (vérifié sur copie).</t>
  </si>
  <si>
    <t xml:space="preserve">Hypothèse de l'équipe ; énoncé p.1–2 (services numériques, NAS et serveurs virtuels).</t>
  </si>
  <si>
    <t xml:space="preserve">H-19</t>
  </si>
  <si>
    <t xml:space="preserve">Le NAS et les serveurs virtuels sont sauvegardés automatiquement chaque nuit sur un support situé dans les mêmes locaux, avec plusieurs générations. Les sauvegardes sont vérifiées de façon irrégulière, sans plan de contrôle. Aucune copie hors site ni hors ligne. Les données des services SaaS ne sont pas copiées par AFN (H-02). Les fichiers des postes sont synchronisés avec le stockage cloud, qui conserve un historique de versions.</t>
  </si>
  <si>
    <t xml:space="preserve">Rend explicite l'hypothèse de 4A03-01 et précise 4A04 et 6B04. Un incendie ou un rançongiciel qui touche le NAS détruit aussi les sauvegardes : c'est ce qui justifie la copie hors site et hors ligne de A05. Le scénario d'incendie DAPD12 (gravité 3) n'est pas retenu, mais le plan le ramène à 2 grâce à cette copie (projet SADC) : il figure dans l'onglet Scénarios exclus avec ce motif.</t>
  </si>
  <si>
    <t xml:space="preserve">À confirmer par l'exploitation (M-05).</t>
  </si>
  <si>
    <t xml:space="preserve">4A03-01, -05, -12 = 1 ; autres questions de 4A03 = 0 ; 4A04-05 = 0 ; 6B04-02 et -04 = 1, 6B04-01, -03, -05 = 0 ; 6B07 = 0. Effet calculé : 4A03 passe de 0,4 à 0,8 (niveau 1) ; 6B04 = 1,6 (niveau 2).</t>
  </si>
  <si>
    <t xml:space="preserve">Énoncé p.2 (« absence ponctuelle de sauvegardes vérifiées ») ; Hypothèse de l'équipe.</t>
  </si>
  <si>
    <t xml:space="preserve">H-20</t>
  </si>
  <si>
    <t xml:space="preserve">Réseau : un seul accès Internet, protégé par le routeur-pare-feu fourni par l'opérateur ou le prestataire. Le réseau interne n'est pas cloisonné : postes, NAS et serveurs partagent le même segment. Par prudence, on suppose que le Wi-Fi utilisé par les apprenants en présentiel n'est pas séparé du réseau interne.</t>
  </si>
  <si>
    <t xml:space="preserve">Couvre les équipements réseau du périmètre minimal (M-03). Rend pertinent DBUC05 (captation de fichiers bureautiques en transit vers le NAS : impact 3, potentialité 2, gravité 3), retenu dans RP-7. Ce scénario est conditionnel à H-20 : si le Wi-Fi des apprenants est en réalité séparé du réseau interne, DBUC05 sort de la sélection et RP-7 se limite aux postes nomades et personnels. DAPC02 (même événement sur les données des outils internes) et SAPD22 (saturation d'équipements, gravité 2, toléré) ont été étudiés puis écartés (voir O-17 et l'onglet Scénarios exclus du registre).</t>
  </si>
  <si>
    <t xml:space="preserve">À confirmer par le responsable IT ou le prestataire réseau (M-03).</t>
  </si>
  <si>
    <t xml:space="preserve">1B05-01 à -03 = 0 ; 5B01-01 = 1 (flux vers les services SaaS chiffrés en TLS par les éditeurs), 5B01-02 à -04 = 0 (flux internes vers le NAS non chiffrés, aucun contrôle) ; scénario DBUC05 retenu (prévention 5B01, projet CHED) ; DAPC02 et SAPD22 non retenus. Effet calculé : 1B05 = 0 ; 5B01 = 1,0 (niveau 1).</t>
  </si>
  <si>
    <t xml:space="preserve">Hypothèse de l'équipe ; énoncé p.2 (équipements réseau dans le périmètre, formations hybrides).</t>
  </si>
  <si>
    <t xml:space="preserve">H-21</t>
  </si>
  <si>
    <t xml:space="preserve">Comptes et droits : chaque salarié a un compte nominatif. Une partie des formateurs sont des intervenants extérieurs qui travaillent sur leur propre ordinateur. Le NAS et les consoles d'administration SaaS sont gérés avec quelques comptes administrateurs, dont au moins un compte générique partagé. Il n'existe ni revue périodique des droits ni procédure formelle de départ : les comptes sont fermés au cas par cas.</t>
  </si>
  <si>
    <t xml:space="preserve">Précise H-06 et M-04. Justifie l'inventaire A01 et la politique de départs A10, et fonde les réponses « non » de 3A02, 3A06 et 6A02-05.</t>
  </si>
  <si>
    <t xml:space="preserve">À confirmer par le responsable IT et les RH (M-04).</t>
  </si>
  <si>
    <t xml:space="preserve">3A02-01, -11, -13, -14 = 0 ; 3A06-01, -05 = 0 ; 6A02-05 = 0 ; 3A04-01, -08, -11 = 1 (identifiant et mot de passe exigés partout), autres questions de 3A04 = 0 ; 6C02-01 à -05 = 0 (ordinateurs personnels des formateurs sans autorisation ni dispositif de sécurité ; prévention de DBUC01-e). Effet calculé : 3A04 = 0,21 ; 6C02 = 0 (niveau 1) ; 3A02 et 3A06 inchangés (niveau 1).</t>
  </si>
  <si>
    <t xml:space="preserve">Énoncé p.2 (« droits variables selon les applications ») ; Hypothèse de l'équipe.</t>
  </si>
  <si>
    <t xml:space="preserve">H-22</t>
  </si>
  <si>
    <t xml:space="preserve">Environ 1 200 comptes apprenants sont créés chaque année dans le LMS lors de l'inscription. Ils ne sont pas désactivés systématiquement à la fin de la formation.</t>
  </si>
  <si>
    <t xml:space="preserve">Couvre le cas « accès d'apprenants non autorisés » de l'exemple LMS (énoncé p.3). Le LMS est un service SaaS (H-18) : un ancien apprenant qui garde son accès relève de DEXC01 (téléchargement de données externalisées, prévention 3A09). Ajoute un volet « comptes apprenants » à l'action A10 et un indicateur : comptes encore actifs après la fin des sessions.</t>
  </si>
  <si>
    <t xml:space="preserve">À confirmer par le responsable pédagogique et le responsable IT.</t>
  </si>
  <si>
    <t xml:space="preserve">Scénario DEXC01 ; 3A02-11 = 0 ; action A10.</t>
  </si>
  <si>
    <t xml:space="preserve">Énoncé p.1 (1 200 apprenants par an) et p.3 (exemple LMS) ; Hypothèse de l'équipe.</t>
  </si>
  <si>
    <t xml:space="preserve">H-23</t>
  </si>
  <si>
    <t xml:space="preserve">Les incidents d'hameçonnage subis sont qualifiés de mineurs, et leur fréquence n'est pas connue. Il n'existe ni procédure de signalement ni formation spécifique.</t>
  </si>
  <si>
    <t xml:space="preserve">Exposition naturelle AH.L.Phi conservée à la valeur standard 3 (étape 18), faute de donnée de fréquence (M-06). Attention : le caractère mineur des incidents porte sur leur gravité, pas sur leur fréquence ; leur répétition plaide plutôt pour 4. Le chiffre du cours (p.6 : 34 % des cibles connues de l'ANSSI dans l'éducation-recherche) concerne surtout les universités et la recherche, pas un organisme de formation privé. Test sur copie : à 4, DBUC03 passe au niveau 4 et RP-2 devient un second risque de niveau 4 ; le plan ne change pas (A02, A03 en P1). Décision à prendre au mois 1, dès que le responsable IT aura compté les incidents sur 12 mois.</t>
  </si>
  <si>
    <t xml:space="preserve">À confirmer par le responsable IT au mois 1 : nombre d'incidents sur 12 mois (M-06). Si plusieurs par trimestre, passer à 4.</t>
  </si>
  <si>
    <t xml:space="preserve">Expo, ligne AH.L.Phi (colonne F laissée vide) ; 1C06-01, -03, -04, -05 = 0 ; scénario DBUC03.</t>
  </si>
  <si>
    <t xml:space="preserve">Énoncé p.2 (« plusieurs incidents mineurs : hameçonnage ») ; énoncé p.3 étape 18 ; cours « Normes et standards » p.6.</t>
  </si>
  <si>
    <t xml:space="preserve">H-24</t>
  </si>
  <si>
    <t xml:space="preserve">Les services SaaS relèvent des conditions générales des éditeurs : ni engagement de service négocié, ni clause de réversibilité spécifique. Des fonctions d'export existent mais ne sont pas utilisées. AFN n'a défini ni service minimal ni solution de repli (canal de communication de secours, report organisé des sessions).</t>
  </si>
  <si>
    <t xml:space="preserve">Précise M-10 et H-03. Fonde la note 0 de 5D02, de 4A04 (questions contractuelles) et de 6A03 (secours de la messagerie). La part « transférer » de RP-4 se limite à ce que les éditeurs acceptent de garantir.</t>
  </si>
  <si>
    <t xml:space="preserve">À vérifier dans les contrats (M-10).</t>
  </si>
  <si>
    <t xml:space="preserve">5D02-01 à -06 = 0 ; 4A04-01 à -04 = 0 ; 6A03-01 à -05 = 0 ; 1E03-04 = 0. Effet calculé : 6A03 = 0 (niveau 1).</t>
  </si>
  <si>
    <t xml:space="preserve">Énoncé p.2 (indisponibilité d'un outil SaaS) ; énoncé §7 (R-03, engagements contractuels).</t>
  </si>
  <si>
    <t xml:space="preserve">H-25</t>
  </si>
  <si>
    <t xml:space="preserve">Pendant une session, une indisponibilité du LMS, de la visioconférence ou de la messagerie de plus d'une demi-journée oblige à reporter la session. Une interruption de plus d'une semaine en période de formation, ou la perte des financements ou de la certification Qualiopi, mettrait en cause la survie d'AFN.</t>
  </si>
  <si>
    <t xml:space="preserve">Fixe les seuils de l'échelle de gravité (étape 9) : niveau 3 = session à reporter, ou fuite de données personnelles à notifier à la CNIL ; niveau 4 = interruption de plus d'une semaine en période de formation, ou perte des financements ou de la certification. Une fuite des données des 1 200 apprenants (DAPC01-b, DEXC01) est donc de niveau 3 : grave (notification, atteinte à l'image) mais sans remise en cause des financements. Si la direction juge qu'une telle fuite ferait perdre les financements, il faut coter la confidentialité à 4 : avec T1 F14 = 4, 7 scénarios D01 passent au niveau 4 (test sur copie), davantage si les données cloud (V14) le sont aussi, et la sélection est à revoir.</t>
  </si>
  <si>
    <t xml:space="preserve">À valider par la direction (M-07).</t>
  </si>
  <si>
    <t xml:space="preserve">Échelle de gravité du dossier (§3) ; T1 domaine 3 (D = 3) ; T1 F14 (C du domaine 9).</t>
  </si>
  <si>
    <t xml:space="preserve">Énoncé p.2 (« indispensables pendant les périodes de formation ») et p.3 étape 9 ; Hypothèse de l'équipe.</t>
  </si>
  <si>
    <t xml:space="preserve">H-26</t>
  </si>
  <si>
    <t xml:space="preserve">AFN n'a pas de RSSI. Une personne interne exerce le rôle de responsable IT à temps partiel ; l'exploitation du NAS, des serveurs et du réseau est confiée à un prestataire. Il n'existe ni astreinte ni cellule de crise.</t>
  </si>
  <si>
    <t xml:space="preserve">Précise M-09 et H-11. Fonde 4A02-07 = 0 et la vigilance sur la charge des actions P1. Le prestataire administre le NAS et les serveurs : la fuite de données lors d'une maintenance (DAPC01-c, gravité 3) n'est réduite par aucun projet décidé. Elle figure parmi les risques résiduels hors sélection (O-24) ; l'action A11 couvre aussi les comptes du prestataire, et le projet COMA (contrôle des opérations de maintenance) est candidat à la phase 2 (H-33).</t>
  </si>
  <si>
    <t xml:space="preserve">À valider par la direction (M-09).</t>
  </si>
  <si>
    <t xml:space="preserve">4A02-07 = 0 ; 3A08 et 4A11 = 0 (aucune revue des journaux) ; 4A10-01 à -09 = 0 (aucune surveillance en temps réel ni astreinte ; 4A10 pilote SAPD22, non retenu : réponses conservées pour documenter l'état actuel). Effet calculé : 4A11 et 4A10 = 0 (niveau 1).</t>
  </si>
  <si>
    <t xml:space="preserve">Énoncé p.1 (PME de 45 personnes) et p.2 (moyens financiers limités) ; Hypothèse de l'équipe.</t>
  </si>
  <si>
    <t xml:space="preserve">H-27</t>
  </si>
  <si>
    <t xml:space="preserve">Dans le stockage collaboratif, chaque utilisateur peut créer des liens ouverts à toute personne qui les détient et partager des dossiers avec l'extérieur, sans règle ni revue.</t>
  </si>
  <si>
    <t xml:space="preserve">Explique les erreurs de partage subies. Aucun service de la base ne modélise les règles de partage pour DBUC02 et DEXC01 (voir O-15) : l'effet de l'action A08 est estimé hors classeur, avec ce motif (R-23). Même méthode pour RP-6 (A01, A10 : voir H-32).</t>
  </si>
  <si>
    <t xml:space="preserve">6B03-04 = 0 ; scénarios DBUC02, DEXC01 ; action A08.</t>
  </si>
  <si>
    <t xml:space="preserve">Énoncé p.2 (erreurs de partage de fichiers) ; énoncé §7 (R-02).</t>
  </si>
  <si>
    <t xml:space="preserve">H-28</t>
  </si>
  <si>
    <t xml:space="preserve">Des fichiers RH et des dossiers d'apprenants sont présents sur les disques des portables (synchronisation du stockage cloud, pièces jointes enregistrées).</t>
  </si>
  <si>
    <t xml:space="preserve">Rend pertinent le vol ou la perte d'un portable. La base n'a aucun scénario de vol de portable hors des locaux : DBUC10-b (vol physique dans les bureaux par une personne non autorisée) est retenu comme approximation, avec le même actif, la même conséquence (divulgation) et la même mesure. Sa prévention vaut max(min(2D01,2D02),6B01) : le chiffrement des disques (A09, service 6B01) agit donc réellement sur ce scénario dans le classeur, contrairement à DBUC02.</t>
  </si>
  <si>
    <t xml:space="preserve">À confirmer par le responsable IT (M-11). Approximation à signaler dans le dossier.</t>
  </si>
  <si>
    <t xml:space="preserve">Scénario DBUC10-b (approximation : vol hors des locaux absent de la base) ; 6B01-01 = 0 ; 2D01 et 2D02 : voir H-29 ; action A09.</t>
  </si>
  <si>
    <t xml:space="preserve">Hypothèse de l'équipe ; énoncé p.2 (télétravail autorisé) ; formule de prévention de DBUC10-b (feuille Scénarios).</t>
  </si>
  <si>
    <t xml:space="preserve">H-29</t>
  </si>
  <si>
    <t xml:space="preserve">Locaux : les bureaux administratifs sont fermés à clé en dehors des heures ouvrées, mais sans zone protégée distincte de l'accueil des apprenants en présentiel, sans contrôle d'accès électronique, sans détection d'intrusion ni vidéosurveillance.</t>
  </si>
  <si>
    <t xml:space="preserve">Permet de renseigner, dans le questionnaire 2 Phy jusque-là vide, les seuls sous-services qui pilotent DBUC10 (2D01, 2D02, 2D03). Le reste du questionnaire 2 Phy reste non audité (limite du dossier).</t>
  </si>
  <si>
    <t xml:space="preserve">À confirmer par la direction (locaux non décrits dans l'énoncé).</t>
  </si>
  <si>
    <t xml:space="preserve">2D01-01 à -16 = 0 ; 2D02-01 à -08 = 0 ; 2D03-01 à -07 = 0. Effet calculé : 2D01, 2D02, 2D03 = 0 (niveau 1).</t>
  </si>
  <si>
    <t xml:space="preserve">Hypothèse de l'équipe ; énoncé p.1 (formations hybrides : accueil d'apprenants).</t>
  </si>
  <si>
    <t xml:space="preserve">H-30</t>
  </si>
  <si>
    <t xml:space="preserve">AFN échange des factures, des conventions et des coordonnées bancaires avec les financeurs, les entreprises clientes et les apprenants par courriel. Le domaine de messagerie d'AFN n'a pas de politique d'authentification des courriels (SPF, DKIM, DMARC) configurée ni vérifiée, et aucune procédure ne prévoit de vérifier par un autre canal un changement de coordonnées bancaires.</t>
  </si>
  <si>
    <t xml:space="preserve">Fonde J-11 (intégrité de la messagerie cotée 3) et le scénario CEPI02 (émission de faux courriels au nom d'AFN : un fraudeur envoie un faux RIB à un financeur, qui paie sur un autre compte). Le levier est la sécurité de la messagerie (6B03, projet SMEL : authentification du domaine) et non la vigilance des salariés face à l'hameçonnage. Ajoute l'action A18 et le risque RP-8.</t>
  </si>
  <si>
    <t xml:space="preserve">À confirmer par le responsable IT (configuration du domaine) et la direction administrative et financière.</t>
  </si>
  <si>
    <t xml:space="preserve">6B03-01 à -09 = 0 ; T1 N17 = 3 ; scénario CEPI02 (ligne 110, prévention 6B03) ; projet SMEL ; action A18.</t>
  </si>
  <si>
    <t xml:space="preserve">Hypothèse de l'équipe ; énoncé p.1–2 (facturation, dossiers de financement, messagerie collaborative).</t>
  </si>
  <si>
    <t xml:space="preserve">H-31</t>
  </si>
  <si>
    <t xml:space="preserve">Objectifs de reprise. Durée maximale d'interruption admissible (DMIA) : 4 heures ouvrées pour le LMS, la visioconférence et la messagerie en période de formation (mode dégradé au-delà) ; 1 jour ouvré pour le NAS et les outils internes. Perte de données maximale admissible (PDMA) : 24 heures pour le NAS, les outils internes et les données SaaS (copie quotidienne).</t>
  </si>
  <si>
    <t xml:space="preserve">Précise H-25 (une demi-journée oblige à reporter une session : la DMIA de 4 heures laisse le temps d'activer le mode dégradé). Donne une cible mesurable aux indicateurs de A05 (restauration du NAS en moins d'un jour, données de moins de 24 h), A06 (copie quotidienne des données SaaS) et A07 (mode dégradé activé en moins de 4 heures).</t>
  </si>
  <si>
    <t xml:space="preserve">4A03, 4A04, 5D02 ; actions A05, A06, A07.</t>
  </si>
  <si>
    <t xml:space="preserve">Hypothèse de l'équipe ; énoncé p.2 (« indispensables pendant les périodes de formation »).</t>
  </si>
  <si>
    <t xml:space="preserve">H-32</t>
  </si>
  <si>
    <t xml:space="preserve">Effet estimé hors classeur des actions A01 (inventaire, suppression des comptes génériques) et A10 (moindre privilège, revue trimestrielle des droits) sur DAPC01-a et DAPI01-b (abus de droits par un utilisateur autorisé). Moins de personnes disposent de droits étendus et chaque action est imputable : la potentialité passe de 3 à 2. L'impact reste 3. Selon la grille (impact 3, potentialité 2), la gravité reste 3.</t>
  </si>
  <si>
    <t xml:space="preserve">Même méthode que pour A08 sur RP-5 (H-27, R-23). Options examinées en plus : double validation des dossiers de financement et contrôles de vraisemblance (séparation des tâches, 5A03) contre DAPI01-b ; restriction des exports et téléchargements massifs contre DAPC01-a ; sauvegardes immuables contre DAPD03 (A05). L'acceptation au niveau 3 reste une dérogation à la grille. Sortie : pour DAPI01-b, PIDA en phase 2 (mois 7 à 9), qui le ramène à 2 sur copie ; pour DAPC01-a, aucune sortie dans la base MEHARI (il reste à 3 même avec des cibles à 4) : la restriction des exports est à évaluer hors classeur avant la décision de M12.</t>
  </si>
  <si>
    <t xml:space="preserve">Estimation de l'équipe ; à valider par la direction avec la dérogation (A12).</t>
  </si>
  <si>
    <t xml:space="preserve">Scénarios DAPC01-a (ligne 37) et DAPI01-b (ligne 27), colonne AA = A ; grille de gravité (onglet Gravité).</t>
  </si>
  <si>
    <t xml:space="preserve">Guide p.41 (grille) ; R-23.</t>
  </si>
  <si>
    <t xml:space="preserve">H-33</t>
  </si>
  <si>
    <t xml:space="preserve">Phase 2 du plan (mois 7 à 12), à décider et chiffrer à la réévaluation de M6 : PIDA (intégrité des données applicatives, mois 7 à 9, sortie de l'acceptation de DAPI01-b), CHDA (chiffrement des données applicatives, selon les fonctions des éditeurs), PCDE (confidentialité des données externalisées, après A02 et A08), SUBU (surveillance des bureaux) et COMA (contrôle des opérations de maintenance du prestataire, qui ramène DAPC01-c à 2 sur copie).</t>
  </si>
  <si>
    <t xml:space="preserve">Ce sont les quatre projets proposés par Sel_Projets avec des cibles à 3, plus COMA pour la chaîne d'approvisionnement. Aucun n'est décidé ni budgété aujourd'hui : la colonne « à terme » des livrables (cibles à 4) est un horizon sous conditions, pas un engagement.</t>
  </si>
  <si>
    <t xml:space="preserve">À décider par la direction à M6 (A12).</t>
  </si>
  <si>
    <t xml:space="preserve">Sel_Projets Tab-2 ; Projets, lignes CHDA, PIDA, PCDE, SUBU, COMA (colonne D vide).</t>
  </si>
  <si>
    <t xml:space="preserve">Classeur v04 ; décision de l'équipe.</t>
  </si>
  <si>
    <t xml:space="preserve">H-34</t>
  </si>
  <si>
    <t xml:space="preserve">Critère d'acceptation proposé à la direction (M-12) : un scénario d'impact 3 et de potentialité 2 est « toléré sous surveillance », à condition que son propriétaire suive un indicateur et le réexamine tous les six mois. La grille du classeur, identique à celle du guide, le classe au niveau 3 (inadmissible).</t>
  </si>
  <si>
    <t xml:space="preserve">La grille appartient à l'organisation (cours : « fixer seuils d'acceptation »). Avec la grille actuelle, un plan surtout préventif, qui baisse la potentialité, ne fait presque jamais passer un risque d'impact 3 sous le seuil. Avec ce critère, les 13 scénarios retenus encore au niveau 3 après le plan (tous en impact 3 et potentialité 2) deviendraient tolérés sous surveillance. Le classeur n'est pas modifié : c'est une proposition, présentée comme telle.</t>
  </si>
  <si>
    <t xml:space="preserve">Décision de la direction (M-12, action A12).</t>
  </si>
  <si>
    <t xml:space="preserve">Onglet Gravité du classeur (non modifié) ; registre, onglet Risques résiduels, colonne J.</t>
  </si>
  <si>
    <t xml:space="preserve">Guide p.41 ; cours « Normes et standards » (matrice de risques : fixer seuils d'acceptation).</t>
  </si>
  <si>
    <t xml:space="preserve">H-35</t>
  </si>
  <si>
    <t xml:space="preserve">AFN n'entre a priori pas dans le champ de la directive NIS2 : avec 45 salariés, elle est sous le seuil des moyennes entreprises (50 salariés, ou plus de 10 M€ de chiffre d'affaires et de bilan), et la formation professionnelle ne figure pas parmi les secteurs des annexes de la directive.</t>
  </si>
  <si>
    <t xml:space="preserve">Aucune obligation NIS2 n'est intégrée au plan ; le RGPD reste le cadre réglementaire principal. Vérification incluse dans l'action A19.</t>
  </si>
  <si>
    <t xml:space="preserve">À vérifier par la direction : chiffre d'affaires, bilan, appartenance éventuelle à un groupe.</t>
  </si>
  <si>
    <t xml:space="preserve">Action A19.</t>
  </si>
  <si>
    <t xml:space="preserve">Cours « Normes et standards » (NIS2) ; énoncé p.1 (45 personnes).</t>
  </si>
  <si>
    <t xml:space="preserve">H-36</t>
  </si>
  <si>
    <t xml:space="preserve">RGPD : les éditeurs SaaS (LMS, CRM, facturation, suite collaborative) sont des sous-traitants au sens de l'article 28, sans encadrement contractuel vérifié ; un hébergement dans l'UE (H-03) n'exclut pas des transferts ou des accès depuis des pays tiers ; les comptes d'environ 1 200 apprenants par an ne sont ni désactivés ni supprimés (H-22), ce qui pose aussi un problème de durée de conservation et de minimisation.</t>
  </si>
  <si>
    <t xml:space="preserve">Ajoute à l'action A19 : clauses de sous-traitance, vérification des transferts hors UE, durées de conservation et suppression des comptes d'apprenants sortis. Renforce le traitement de PGCE01 (non-conformité).</t>
  </si>
  <si>
    <t xml:space="preserve">À vérifier dans les contrats (M-10) et avec la direction.</t>
  </si>
  <si>
    <t xml:space="preserve">Action A19 ; projet CPEX ; scénario PGCE01.</t>
  </si>
  <si>
    <t xml:space="preserve">RGPD art. 5, 28, 30 et 44 ; énoncé p.2 (données personnelles).</t>
  </si>
  <si>
    <t xml:space="preserve">J-01</t>
  </si>
  <si>
    <t xml:space="preserve">LMS, visioconférence et messagerie : indispensables pendant les périodes de formation, donc disponibilité cotée 3.</t>
  </si>
  <si>
    <t xml:space="preserve">Formations interrompues en cas d'indisponibilité. Cotations : données externalisées (D07) D = 3 et courriel D = 3 pour le domaine 3, courriel D = 3 pour le processus 1, S02 D = 3 (domaine 3 et processus 1).</t>
  </si>
  <si>
    <t xml:space="preserve">Justification DIC</t>
  </si>
  <si>
    <t xml:space="preserve">Validation de l'équipe ; cohérent avec l'exemple de l'énoncé (LMS : D élevée).</t>
  </si>
  <si>
    <t xml:space="preserve">T1 T8, M8, M17 ; T2 G8, G17</t>
  </si>
  <si>
    <t xml:space="preserve">Énoncé p.2 (« indispensables pendant les périodes de formation ») ; énoncé p.3 (exemple LMS) ; notes de l'équipe</t>
  </si>
  <si>
    <t xml:space="preserve">J-02</t>
  </si>
  <si>
    <t xml:space="preserve">Exemple de l'énoncé — Dossiers de financement des apprenants : D élevée, I élevée, C élevée.</t>
  </si>
  <si>
    <t xml:space="preserve">Justification donnée par l'énoncé : retard de prise en charge, erreurs administratives, exposition de données personnelles et financières.</t>
  </si>
  <si>
    <t xml:space="preserve">Repris dans T1 : D01 = 3, 3, 3 et D07 = 3, 3, 3 pour le domaine 2 (voir J-09) ; conversion J-08.</t>
  </si>
  <si>
    <t xml:space="preserve">Énoncé TP, séance 1, tableau « Exemple d'actif », p.3</t>
  </si>
  <si>
    <t xml:space="preserve">J-03</t>
  </si>
  <si>
    <t xml:space="preserve">Exemple de l'énoncé — Plateforme LMS : D élevée, I moyenne à élevée, C moyenne.</t>
  </si>
  <si>
    <t xml:space="preserve">Justification donnée par l'énoncé : interruption des formations, altération de contenus ou de résultats, accès d'apprenants non autorisés.</t>
  </si>
  <si>
    <t xml:space="preserve">Repris dans T1 : D07 du domaine 3 = 3, 2, 2 (le LMS est un service SaaS, H-18) ; conversion J-08.</t>
  </si>
  <si>
    <t xml:space="preserve">Énoncé TP, séance 1, p.3</t>
  </si>
  <si>
    <t xml:space="preserve">J-04</t>
  </si>
  <si>
    <t xml:space="preserve">Exemple de l'énoncé — Site vitrine public : D moyenne, I moyenne, C faible.</t>
  </si>
  <si>
    <t xml:space="preserve">Justification donnée par l'énoncé : atteinte à l'image et perte d'opportunités commerciales, mais confidentialité limitée.</t>
  </si>
  <si>
    <t xml:space="preserve">Repris dans T1 : D06 du domaine 8 = 2, 2 ; conversion J-08.</t>
  </si>
  <si>
    <t xml:space="preserve">T1 D06 / T2 S03</t>
  </si>
  <si>
    <t xml:space="preserve">J-05</t>
  </si>
  <si>
    <t xml:space="preserve">Confidentialité cotée 3 pour les données personnelles et financières des apprenants et des salariés.</t>
  </si>
  <si>
    <t xml:space="preserve">Exposition de données personnelles et financières.</t>
  </si>
  <si>
    <t xml:space="preserve">Validation de l'équipe.</t>
  </si>
  <si>
    <t xml:space="preserve">T1 F7, F14 (D01) ; V6, V7, V10, V14, V17 (D07) ; I11, I14 (D02)</t>
  </si>
  <si>
    <t xml:space="preserve">Énoncé p.2 (données traitées) ; énoncé p.3 (dossiers de financement : C élevée)</t>
  </si>
  <si>
    <t xml:space="preserve">J-06</t>
  </si>
  <si>
    <t xml:space="preserve">Intégrité cotée 3 pour les dossiers administratifs, de financement et les contrats.</t>
  </si>
  <si>
    <t xml:space="preserve">Dossier ou contrat faux : erreurs administratives, retard de prise en charge.</t>
  </si>
  <si>
    <t xml:space="preserve">T1 E7, E14 (D01) ; U7, U14 (D07)</t>
  </si>
  <si>
    <t xml:space="preserve">Énoncé p.3 (dossiers de financement : I élevée)</t>
  </si>
  <si>
    <t xml:space="preserve">J-07</t>
  </si>
  <si>
    <t xml:space="preserve">Disponibilité cotée 3 pour les données stockées dans le cloud (dossiers, données personnelles, sauvegardes).</t>
  </si>
  <si>
    <t xml:space="preserve">Dossiers inaccessibles ou non restaurables : retard de prise en charge, reprise impossible.</t>
  </si>
  <si>
    <t xml:space="preserve">T1 T7, T14, T18 (D07)</t>
  </si>
  <si>
    <t xml:space="preserve">Énoncé p.3 (dossiers de financement : D élevée) ; énoncé p.2 (sauvegardes non vérifiées)</t>
  </si>
  <si>
    <t xml:space="preserve">J-08</t>
  </si>
  <si>
    <t xml:space="preserve">Conversion de l'échelle de l'énoncé : faible = 1, moyenne = 2, élevée = 3 ; aucun actif coté 4.</t>
  </si>
  <si>
    <t xml:space="preserve">Redonne les exemples de l'énoncé (LMS 3, 2, 2 ; site vitrine 2, 2). Aucun impact vital identifié dans le cas.</t>
  </si>
  <si>
    <t xml:space="preserve">Validation de l'équipe ; seuils non fournis (M-07).</t>
  </si>
  <si>
    <t xml:space="preserve">T1, T2</t>
  </si>
  <si>
    <t xml:space="preserve">Énoncé p.3 (tableau d'exemple) ; guide MEHARI p.15–16 (niveaux d'impact)</t>
  </si>
  <si>
    <t xml:space="preserve">J-09</t>
  </si>
  <si>
    <t xml:space="preserve">Données applicatives du domaine 2 cotées D = 3 (T1 D7), comme les dossiers de financement de l'exemple de l'énoncé (D élevée). Cotation passée de 2 à 3 le 19/10/2026.</t>
  </si>
  <si>
    <t xml:space="preserve">Dossiers de financement indisponibles : retard de prise en charge. Aucun effet sur les calculs : D01 était déjà à 3 en disponibilité dans la classification d'ensemble.</t>
  </si>
  <si>
    <t xml:space="preserve">Validé par l'équipe.</t>
  </si>
  <si>
    <t xml:space="preserve">T1 D7</t>
  </si>
  <si>
    <t xml:space="preserve">Énoncé p.3 (dossiers de financement : D élevée)</t>
  </si>
  <si>
    <t xml:space="preserve">J-10</t>
  </si>
  <si>
    <t xml:space="preserve">Feuilles d'émargement et résultats d'évaluation (domaine 4) : intégrité cotée 3 et efficience cotée sur le processus de conformité (P01, E = 2).</t>
  </si>
  <si>
    <t xml:space="preserve">Les émargements prouvent la réalisation des formations auprès des financeurs : leur perte ou leur falsification entraîne un refus de prise en charge ou une demande de remboursement. Sans effet sur la classification d'ensemble (D07 I déjà à 3), mais l'enjeu du domaine 4 est tracé.</t>
  </si>
  <si>
    <t xml:space="preserve">Validation de l'équipe ; à confirmer par la direction.</t>
  </si>
  <si>
    <t xml:space="preserve">T1 U9 (D07 I = 3) ; T2 K9 (P01 E = 2).</t>
  </si>
  <si>
    <t xml:space="preserve">Énoncé p.2 (feuilles d'émargement, dossiers de financement) ; étape 8 (non-conformité).</t>
  </si>
  <si>
    <t xml:space="preserve">J-11</t>
  </si>
  <si>
    <t xml:space="preserve">Intégrité de la messagerie (processus 1, T1 N17) cotée 3 au lieu de 2 : un faux courriel au nom d'AFN peut détourner un paiement (faux RIB envoyé à un financeur ou à une entreprise cliente) ou faire annuler une session.</t>
  </si>
  <si>
    <t xml:space="preserve">Conséquence concrète : perte financière directe et retard d'encaissement pour l'activité « Facturation et encaissement » (domaine 5), atteinte à la relation avec les financeurs. Effet calculé : CEPI01 à CEPI03 passent de la gravité 2 à 3 ; CEPI02 est retenu (RP-8). Aucune autre gravité ne change.</t>
  </si>
  <si>
    <t xml:space="preserve">Validation de l'équipe ; à confirmer par la direction administrative et financière (H-30).</t>
  </si>
  <si>
    <t xml:space="preserve">T1 N17 = 3 ; Scénarios CEPI01 à CEPI03 (lignes 109 à 111).</t>
  </si>
  <si>
    <t xml:space="preserve">Énoncé p.1–2 (facturation, financements) ; R-07 (perte financière).</t>
  </si>
  <si>
    <t xml:space="preserve">M-01</t>
  </si>
  <si>
    <t xml:space="preserve">Quels services sont hébergés chez des prestataires cloud (l'énoncé dit « une partie des services »).</t>
  </si>
  <si>
    <t xml:space="preserve">Nécessaire pour remplir Classif S02 / D07 et les questionnaires sur les services externalisés.</t>
  </si>
  <si>
    <t xml:space="preserve">Information manquante</t>
  </si>
  <si>
    <t xml:space="preserve">Couverte par H-17 et H-18 ; à confirmer par le responsable IT.</t>
  </si>
  <si>
    <t xml:space="preserve">Énoncé p.2</t>
  </si>
  <si>
    <t xml:space="preserve">M-02</t>
  </si>
  <si>
    <t xml:space="preserve">Mode d'accès distant (VPN, portail, accès direct aux applications SaaS…).</t>
  </si>
  <si>
    <t xml:space="preserve">L'accès distant fait partie du périmètre minimal.</t>
  </si>
  <si>
    <t xml:space="preserve">Couverte par H-05 ; à confirmer par le responsable IT.</t>
  </si>
  <si>
    <t xml:space="preserve">Énoncé p.2 (périmètre)</t>
  </si>
  <si>
    <t xml:space="preserve">M-03</t>
  </si>
  <si>
    <t xml:space="preserve">Équipements réseau essentiels (nature, nombre, administration).</t>
  </si>
  <si>
    <t xml:space="preserve">Ils font partie du périmètre minimal mais ne sont pas décrits.</t>
  </si>
  <si>
    <t xml:space="preserve">Couverte par H-20 ; à confirmer par le responsable IT ou le prestataire réseau.</t>
  </si>
  <si>
    <t xml:space="preserve">M-04</t>
  </si>
  <si>
    <t xml:space="preserve">Nombre de comptes à privilèges et règles d'attribution des droits.</t>
  </si>
  <si>
    <t xml:space="preserve">Comptes à privilèges dans le périmètre ; droits seulement qualifiés de « variables ».</t>
  </si>
  <si>
    <t xml:space="preserve">Couverte par H-06 et H-21 ; à confirmer par le responsable IT et les RH.</t>
  </si>
  <si>
    <t xml:space="preserve">M-05</t>
  </si>
  <si>
    <t xml:space="preserve">Politique de sauvegarde : fréquence, rétention, lieu de conservation, derniers tests de restauration.</t>
  </si>
  <si>
    <t xml:space="preserve">L'énoncé mentionne seulement une « absence ponctuelle de sauvegardes vérifiées ». L'introduction donne comme exemple d'information manquante « le dernier compte rendu de test de restauration ».</t>
  </si>
  <si>
    <t xml:space="preserve">Couverte par H-02 et H-19 ; à confirmer par l'exploitation.</t>
  </si>
  <si>
    <t xml:space="preserve">Énoncé p.2 ; introduction aux TP p.14</t>
  </si>
  <si>
    <t xml:space="preserve">M-06</t>
  </si>
  <si>
    <t xml:space="preserve">Date, fréquence et conséquences des incidents mineurs.</t>
  </si>
  <si>
    <t xml:space="preserve">Utile pour justifier une éventuelle modification d'Expo (étape 18).</t>
  </si>
  <si>
    <t xml:space="preserve">Couverte par H-23 ; à confirmer par le responsable IT (nombre d'incidents sur 12 mois).</t>
  </si>
  <si>
    <t xml:space="preserve">M-07</t>
  </si>
  <si>
    <t xml:space="preserve">Durée d'interruption tolérable de la LMS, de la visio et de la messagerie en période de formation.</t>
  </si>
  <si>
    <t xml:space="preserve">Nécessaire pour fixer les seuils de l'échelle de gravité (étape 9 ; guide p.30 : paramètres et seuils).</t>
  </si>
  <si>
    <t xml:space="preserve">Couverte par H-25 ; à valider par la direction.</t>
  </si>
  <si>
    <t xml:space="preserve">Énoncé p.2 et p.2–3 ; guide p.30</t>
  </si>
  <si>
    <t xml:space="preserve">M-08</t>
  </si>
  <si>
    <t xml:space="preserve">Montant du budget sécurité.</t>
  </si>
  <si>
    <t xml:space="preserve">L'énoncé demande seulement une estimation faible / moyen / élevé (étape 25).</t>
  </si>
  <si>
    <t xml:space="preserve">Couverte par H-08 (échelle faible / moyen / élevé) ; montant à fournir par la direction.</t>
  </si>
  <si>
    <t xml:space="preserve">Énoncé p.2 et p.4</t>
  </si>
  <si>
    <t xml:space="preserve">M-09</t>
  </si>
  <si>
    <t xml:space="preserve">Organisation informatique et sécurité d'AFN (qui est responsable de quoi).</t>
  </si>
  <si>
    <t xml:space="preserve">Les modèles de l'énoncé citent « responsable IT », « équipe exploitation », « référent données / IT », « Direction / RH / IT », mais le cas ne décrit pas l'organisation.</t>
  </si>
  <si>
    <t xml:space="preserve">Couverte par H-11 et H-26 ; à valider par la direction.</t>
  </si>
  <si>
    <t xml:space="preserve">Énoncé §7, p.5–6</t>
  </si>
  <si>
    <t xml:space="preserve">M-10</t>
  </si>
  <si>
    <t xml:space="preserve">Contrats des prestataires cloud (localisation des données, engagements).</t>
  </si>
  <si>
    <t xml:space="preserve">H-03 indique « à vérifier dans le contrat » ; le registre exemple R-03 cite des « engagements contractuels ».</t>
  </si>
  <si>
    <t xml:space="preserve">Couverte par H-03 et H-24 ; à vérifier dans les contrats.</t>
  </si>
  <si>
    <t xml:space="preserve">Énoncé §7, p.5</t>
  </si>
  <si>
    <t xml:space="preserve">M-11</t>
  </si>
  <si>
    <t xml:space="preserve">Description des postes de travail (nombre, protection, mises à jour).</t>
  </si>
  <si>
    <t xml:space="preserve">Les postes de travail font partie du périmètre minimal.</t>
  </si>
  <si>
    <t xml:space="preserve">Couverte par H-16 et H-28 ; à confirmer par le responsable IT (inventaire des postes).</t>
  </si>
  <si>
    <t xml:space="preserve">M-12</t>
  </si>
  <si>
    <t xml:space="preserve">Validation par la direction d'AFN de la grille d'acceptabilité des risques (onglet Gravité).</t>
  </si>
  <si>
    <t xml:space="preserve">Le guide demande un accord et un consensus des instances de décision sur cette grille.</t>
  </si>
  <si>
    <t xml:space="preserve">Reste ouverte : décision de la direction (action A12). Aucune hypothèse ne peut la remplacer.</t>
  </si>
  <si>
    <t xml:space="preserve">Guide p.41 (10.7)</t>
  </si>
  <si>
    <t xml:space="preserve">Q-01</t>
  </si>
  <si>
    <t xml:space="preserve">L'étape 15 demande une note de 0 à 4 par contrôle, alors que la variante V1 du classeur attend une réponse par question (1 = oui, 0 = non, X = sans objet) et calcule elle-même la note de 0 à 4 de chaque sous-service (feuille Services). Le classeur permet aussi de saisir une note directe de 0 à 4 sur la ligne d'en-tête d'un sous-service (la formule de Services, colonne D, lit d'abord cette cellule). Interprétation retenue : réponses 1 / 0 / X par question, note de 0 à 4 lue dans Services.</t>
  </si>
  <si>
    <t xml:space="preserve">Conditionne la notation de toutes les questions (R-10, R-11, R-21). La note directe a été testée sur une copie avec l'échelle de l'énoncé : niveaux et gravités identiques (O-16). La variante V1 est gardée parce qu'elle trace la réponse à chaque question.</t>
  </si>
  <si>
    <t xml:space="preserve">Question enseignant</t>
  </si>
  <si>
    <t xml:space="preserve">À confirmer par l'enseignant.</t>
  </si>
  <si>
    <t xml:space="preserve">Questionnaires 1 à 8, colonne C (lignes de questions et lignes d'en-tête) ; Services, colonnes D et H.</t>
  </si>
  <si>
    <t xml:space="preserve">Énoncé p.3, étape 15 ; classeur, feuille Services.</t>
  </si>
  <si>
    <t xml:space="preserve">Règle</t>
  </si>
  <si>
    <t xml:space="preserve">R-01</t>
  </si>
  <si>
    <t xml:space="preserve">Toute information absente du cas doit être formulée explicitement comme hypothèse.</t>
  </si>
  <si>
    <t xml:space="preserve">Énoncé p.2, étape 5</t>
  </si>
  <si>
    <t xml:space="preserve">R-02</t>
  </si>
  <si>
    <t xml:space="preserve">Ouvrir un journal d'hypothèses, de questions et d'informations manquantes.</t>
  </si>
  <si>
    <t xml:space="preserve">Introduction aux TP p.18–19</t>
  </si>
  <si>
    <t xml:space="preserve">R-03</t>
  </si>
  <si>
    <t xml:space="preserve">Quatre statuts : fait établi (preuve identifiable), déclaration (sans preuve complémentaire), hypothèse (interprétation à confirmer), information manquante (nécessaire mais indisponible). Ne jamais transformer une déclaration ou une hypothèse en fait établi.</t>
  </si>
  <si>
    <t xml:space="preserve">Introduction aux TP p.14</t>
  </si>
  <si>
    <t xml:space="preserve">R-04</t>
  </si>
  <si>
    <t xml:space="preserve">Ne pas inventer de preuves, de sources ou d'éléments factuels pour compléter le cas.</t>
  </si>
  <si>
    <t xml:space="preserve">Introduction aux TP p.21</t>
  </si>
  <si>
    <t xml:space="preserve">R-05</t>
  </si>
  <si>
    <t xml:space="preserve">Une absence de preuve n'est pas une preuve d'absence : qualifier l'information comme manquante et indiquer ce qu'il faudrait vérifier.</t>
  </si>
  <si>
    <t xml:space="preserve">Introduction aux TP p.13</t>
  </si>
  <si>
    <t xml:space="preserve">R-06</t>
  </si>
  <si>
    <t xml:space="preserve">Justifier chaque niveau élevé de disponibilité, intégrité ou confidentialité dans le journal d'hypothèses.</t>
  </si>
  <si>
    <t xml:space="preserve">Énoncé p.3, étape 12</t>
  </si>
  <si>
    <t xml:space="preserve">R-07</t>
  </si>
  <si>
    <t xml:space="preserve">Une cotation élevée doit renvoyer à une conséquence concrète (interruption d'activité, perte ou divulgation de données, retard de formation ou de facturation, non-respect d'une obligation, perte financière, atteinte à l'image…).</t>
  </si>
  <si>
    <t xml:space="preserve">Introduction aux TP p.15 ; énoncé §9 p.6</t>
  </si>
  <si>
    <t xml:space="preserve">R-08</t>
  </si>
  <si>
    <t xml:space="preserve">Échelle de gravité : décrire avec des exemples les impacts faible, modéré, important et critique. Le guide recommande de fixer pour chaque dysfonctionnement les paramètres et seuils qui font passer d'un niveau à l'autre.</t>
  </si>
  <si>
    <t xml:space="preserve">Énoncé p.3, étape 9 ; guide p.30 (7.2)</t>
  </si>
  <si>
    <t xml:space="preserve">R-09</t>
  </si>
  <si>
    <t xml:space="preserve">Dans T1 / T2, une case à 1 génère des scénarios d'impact non significatif ; une case vide n'en génère aucun.</t>
  </si>
  <si>
    <t xml:space="preserve">Guide p.34 (8.5.1)</t>
  </si>
  <si>
    <t xml:space="preserve">R-10</t>
  </si>
  <si>
    <t xml:space="preserve">Choisir une seule variante de notation (V1, V2, V3 ou V4) et l'utiliser uniformément. Si plusieurs variantes sont remplies, l'onglet Services retient le minimum.</t>
  </si>
  <si>
    <t xml:space="preserve">Énoncé p.3, étape 13 ; guide p.35–36 (9.2.1, 9.3)</t>
  </si>
  <si>
    <t xml:space="preserve">R-11</t>
  </si>
  <si>
    <t xml:space="preserve">Notes 0 à 4 : 0 inexistant, 1 partiel, 2 en place mais incomplet, 3 correctement mis en œuvre, 4 mature et documenté.</t>
  </si>
  <si>
    <t xml:space="preserve">Énoncé p.3, étape 15 (voir Q-01)</t>
  </si>
  <si>
    <t xml:space="preserve">R-12</t>
  </si>
  <si>
    <t xml:space="preserve">Documenter une preuve, une observation ou une hypothèse pour toute note de 0, 1 ou 2 sur un contrôle important ; garder la trace des explications dans une colonne Commentaires.</t>
  </si>
  <si>
    <t xml:space="preserve">Énoncé p.3, étape 16 ; guide p.36 (9.2.2)</t>
  </si>
  <si>
    <t xml:space="preserve">R-13</t>
  </si>
  <si>
    <t xml:space="preserve">Réponses ambiguës (« oui en théorie », « oui à X % », « c'est prévu ») : répondre « oui » seulement si la correction ou le déploiement est sous contrôle et maîtrisé, sinon « non ». Remplacée par R-21 dans ce TP : le cas est fictif et aucune réponse ne peut être démontrée ; la règle reste valable face à un interlocuteur réel.</t>
  </si>
  <si>
    <t xml:space="preserve">Guide p.36 (9.2.2)</t>
  </si>
  <si>
    <t xml:space="preserve">R-14</t>
  </si>
  <si>
    <t xml:space="preserve">Expo : ne modifier l'exposition naturelle que si le contexte le justifie, et conserver une trace du motif. Même règle pour les paramètres.</t>
  </si>
  <si>
    <t xml:space="preserve">Énoncé p.3 étape 18 et §9 p.6 ; guide p.40 (10.5)</t>
  </si>
  <si>
    <t xml:space="preserve">R-15</t>
  </si>
  <si>
    <t xml:space="preserve">Désélections possibles (0 dans « Sélection ») : activités (T1), actifs primaires (Classif), actifs support, types de dommage, types d'événements.</t>
  </si>
  <si>
    <t xml:space="preserve">Guide p.37–41 (10.1 à 10.6)</t>
  </si>
  <si>
    <t xml:space="preserve">R-16</t>
  </si>
  <si>
    <t xml:space="preserve">Retenir 10 à 20 scénarios ; exclure explicitement ceux hors périmètre ; chaque scénario répond à : quel actif, quel événement ou acteur, quelle conséquence métier.</t>
  </si>
  <si>
    <t xml:space="preserve">Énoncé p.3, étape 19 et règle de sélection</t>
  </si>
  <si>
    <t xml:space="preserve">R-17</t>
  </si>
  <si>
    <t xml:space="preserve">Les risques acceptés, évités ou transférés sont reportés dans la colonne AA de la feuille Scénarios.</t>
  </si>
  <si>
    <t xml:space="preserve">Guide p.48 (12.3)</t>
  </si>
  <si>
    <t xml:space="preserve">R-18</t>
  </si>
  <si>
    <t xml:space="preserve">Pour les risques acceptés temporairement, préciser les conditions et la surveillance.</t>
  </si>
  <si>
    <t xml:space="preserve">Énoncé §10, questions de restitution, p.6–7</t>
  </si>
  <si>
    <t xml:space="preserve">R-19</t>
  </si>
  <si>
    <t xml:space="preserve">Les scores dépendent de conventions et d'une base donnée ; ils ne sont pas universels. Conserver la traçabilité de la version utilisée.</t>
  </si>
  <si>
    <t xml:space="preserve">Cours normes p.69</t>
  </si>
  <si>
    <t xml:space="preserve">R-20</t>
  </si>
  <si>
    <t xml:space="preserve">Signaler les limites de l'analyse.</t>
  </si>
  <si>
    <t xml:space="preserve">Énoncé p.4 étape 30 ; introduction aux TP p.19</t>
  </si>
  <si>
    <t xml:space="preserve">R-21</t>
  </si>
  <si>
    <t xml:space="preserve">Règle de notation : « oui » (1) si la mesure est établie par l'énoncé ou retenue par une hypothèse tracée (H-xx) ; « non » (0) si elle est absente selon l'énoncé ou selon une hypothèse ; « X » si la question est sans objet. Chaque réponse cite sa source (énoncé, O-xx ou H-xx) : « Information manquante » seul n'est pas admis comme commentaire. Remplace la règle « oui seulement si démontré », inapplicable à un cas fictif où aucune preuve n'existera jamais. Tension avec R-05 : la plupart des hypothèses décrivent une mesure absente, si bien que 286 réponses sur 300 sont « non » ; le diagnostic est pessimiste par construction. Le test de la note directe (O-16, Q-01) montre que le résultat ne change pas avec l'échelle de l'énoncé ; la limite est signalée dans le dossier.</t>
  </si>
  <si>
    <t xml:space="preserve">Énoncé p.2 étape 5 et p.3 étape 16 ; introduction aux TP p.13 (R-05) ; décision de l'équipe</t>
  </si>
  <si>
    <t xml:space="preserve">R-22</t>
  </si>
  <si>
    <t xml:space="preserve">Conventions de nommage (étape 6) : O-xx observation, H-xx hypothèse, J-xx justification DIC, M-xx information manquante, Q-xx question à l'enseignant ; RP-x risque prioritaire, A-xx action, L-x lot de la feuille de route ; scénarios et sous-services désignés par leur code MEHARI (ex. DBUC04, 4A02) ; activités désignées par « Domaine n » et « Processus n » comme dans T1 et T2.</t>
  </si>
  <si>
    <t xml:space="preserve">Énoncé p.2, étape 6</t>
  </si>
  <si>
    <t xml:space="preserve">R-23</t>
  </si>
  <si>
    <t xml:space="preserve">Colonnes V et W de la feuille Scénarios (« I décidé », « P décidée ») : elles remplacent l'impact et la potentialité calculés dans toutes les options de gravité, actuelle comme résiduelle. On ne les utilise que pour corriger l'état actuel, quand une mesure existante n'est pas modélisée par la base, avec une entrée au journal. L'effet d'une mesure prévue mais non modélisée est estimé hors classeur, dans le registre, avec son motif : A08 sur DBUC02 et DEXC01 (H-27), A01 et A10 sur DAPC01-a et DAPI01-b (H-32).</t>
  </si>
  <si>
    <t xml:space="preserve">Classeur, feuille Scénarios (formule de la colonne Z) ; énoncé §9 p.6 (tracer toute modification)</t>
  </si>
  <si>
    <t xml:space="preserve">Synthèse du journal</t>
  </si>
  <si>
    <t xml:space="preserve">Calculée automatiquement à partir de l'onglet Journal.</t>
  </si>
  <si>
    <t xml:space="preserve">Déclaration</t>
  </si>
  <si>
    <t xml:space="preserve">Total</t>
  </si>
  <si>
    <t xml:space="preserve">État</t>
  </si>
  <si>
    <t xml:space="preserve">À valider</t>
  </si>
  <si>
    <t xml:space="preserve">Validé équipe</t>
  </si>
  <si>
    <t xml:space="preserve">Confirmé enseignant</t>
  </si>
  <si>
    <t xml:space="preserve">Clos</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</si>
</sst>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0D5E73"/>
      <name val="Arial"/>
      <family val="0"/>
      <charset val="1"/>
    </font>
    <font>
      <i val="true"/>
      <sz val="10"/>
      <color rgb="FF5A6676"/>
      <name val="Arial"/>
      <family val="0"/>
      <charset val="1"/>
    </font>
    <font>
      <sz val="10"/>
      <name val="Arial"/>
      <family val="0"/>
      <charset val="1"/>
    </font>
    <font>
      <b val="true"/>
      <sz val="11"/>
      <name val="Arial"/>
      <family val="0"/>
      <charset val="1"/>
    </font>
    <font>
      <b val="true"/>
      <sz val="10"/>
      <color rgb="FFFFFFFF"/>
      <name val="Arial"/>
      <family val="0"/>
      <charset val="1"/>
    </font>
    <font>
      <b val="true"/>
      <sz val="10"/>
      <name val="Arial"/>
      <family val="0"/>
      <charset val="1"/>
    </font>
  </fonts>
  <fills count="3">
    <fill>
      <patternFill patternType="none"/>
    </fill>
    <fill>
      <patternFill patternType="gray125"/>
    </fill>
    <fill>
      <patternFill patternType="solid">
        <fgColor rgb="FF0D5E73"/>
        <bgColor rgb="FF008080"/>
      </patternFill>
    </fill>
  </fills>
  <borders count="2">
    <border diagonalUp="false" diagonalDown="false">
      <left/>
      <right/>
      <top/>
      <bottom/>
      <diagonal/>
    </border>
    <border diagonalUp="false" diagonalDown="false">
      <left style="thin">
        <color rgb="FFC9D1DA"/>
      </left>
      <right style="thin">
        <color rgb="FFC9D1DA"/>
      </right>
      <top style="thin">
        <color rgb="FFC9D1DA"/>
      </top>
      <bottom style="thin">
        <color rgb="FFC9D1D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0D5E73"/>
          <bgColor rgb="FF000000"/>
        </patternFill>
      </fill>
    </dxf>
    <dxf>
      <fill>
        <patternFill patternType="solid">
          <bgColor rgb="FF000000"/>
        </patternFill>
      </fill>
    </dxf>
    <dxf>
      <fill>
        <patternFill patternType="solid">
          <fgColor rgb="FFFFFFFF"/>
          <bgColor rgb="FF000000"/>
        </patternFill>
      </fill>
    </dxf>
    <dxf>
      <fill>
        <patternFill patternType="solid">
          <fgColor rgb="FFE4F2E9"/>
          <bgColor rgb="FF000000"/>
        </patternFill>
      </fill>
    </dxf>
    <dxf>
      <fill>
        <patternFill patternType="solid">
          <fgColor rgb="FFF8DFE2"/>
          <bgColor rgb="FF000000"/>
        </patternFill>
      </fill>
    </dxf>
    <dxf>
      <fill>
        <patternFill patternType="solid">
          <fgColor rgb="FFFBF1D9"/>
          <bgColor rgb="FF000000"/>
        </patternFill>
      </fill>
    </dxf>
    <dxf>
      <fill>
        <patternFill patternType="solid">
          <fgColor rgb="FF2F7D4F"/>
          <bgColor rgb="FF000000"/>
        </patternFill>
      </fill>
    </dxf>
    <dxf>
      <fill>
        <patternFill patternType="solid">
          <fgColor rgb="FF9A6B00"/>
          <bgColor rgb="FF000000"/>
        </patternFill>
      </fill>
    </dxf>
    <dxf>
      <fill>
        <patternFill patternType="solid">
          <fgColor rgb="FFA3182A"/>
          <bgColor rgb="FF000000"/>
        </patternFill>
      </fill>
    </dxf>
    <dxf>
      <font>
        <name val="Arial"/>
        <charset val="1"/>
        <family val="0"/>
        <b val="1"/>
        <color rgb="FF2F7D4F"/>
      </font>
      <fill>
        <patternFill>
          <bgColor rgb="FFE4F2E9"/>
        </patternFill>
      </fill>
    </dxf>
    <dxf>
      <font>
        <name val="Arial"/>
        <charset val="1"/>
        <family val="0"/>
        <b val="1"/>
        <color rgb="FF0D5E73"/>
      </font>
      <fill>
        <patternFill>
          <bgColor rgb="FFE3F0F3"/>
        </patternFill>
      </fill>
    </dxf>
    <dxf>
      <font>
        <name val="Arial"/>
        <charset val="1"/>
        <family val="0"/>
        <b val="1"/>
        <color rgb="FF9A6B00"/>
      </font>
      <fill>
        <patternFill>
          <bgColor rgb="FFFBF1D9"/>
        </patternFill>
      </fill>
    </dxf>
    <dxf>
      <font>
        <name val="Arial"/>
        <charset val="1"/>
        <family val="0"/>
        <b val="1"/>
        <color rgb="FFA3182A"/>
      </font>
      <fill>
        <patternFill>
          <bgColor rgb="FFF8DF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A6B00"/>
      <rgbColor rgb="FF800080"/>
      <rgbColor rgb="FF0D5E73"/>
      <rgbColor rgb="FFC0C0C0"/>
      <rgbColor rgb="FF808080"/>
      <rgbColor rgb="FF9999FF"/>
      <rgbColor rgb="FF993366"/>
      <rgbColor rgb="FFFBF1D9"/>
      <rgbColor rgb="FFE3F0F3"/>
      <rgbColor rgb="FF660066"/>
      <rgbColor rgb="FFFF8080"/>
      <rgbColor rgb="FF0066CC"/>
      <rgbColor rgb="FFC9D1DA"/>
      <rgbColor rgb="FF000080"/>
      <rgbColor rgb="FFFF00FF"/>
      <rgbColor rgb="FFFFFF00"/>
      <rgbColor rgb="FF00FFFF"/>
      <rgbColor rgb="FF800080"/>
      <rgbColor rgb="FF800000"/>
      <rgbColor rgb="FF008080"/>
      <rgbColor rgb="FF0000FF"/>
      <rgbColor rgb="FF00CCFF"/>
      <rgbColor rgb="FFE4F2E9"/>
      <rgbColor rgb="FFCCFFCC"/>
      <rgbColor rgb="FFFFFF99"/>
      <rgbColor rgb="FF99CCFF"/>
      <rgbColor rgb="FFFF99CC"/>
      <rgbColor rgb="FFCC99FF"/>
      <rgbColor rgb="FFF8DFE2"/>
      <rgbColor rgb="FF3366FF"/>
      <rgbColor rgb="FF33CCCC"/>
      <rgbColor rgb="FF99CC00"/>
      <rgbColor rgb="FFFFCC00"/>
      <rgbColor rgb="FFFF9900"/>
      <rgbColor rgb="FFFF6600"/>
      <rgbColor rgb="FF5A6676"/>
      <rgbColor rgb="FF969696"/>
      <rgbColor rgb="FF003366"/>
      <rgbColor rgb="FF2F7D4F"/>
      <rgbColor rgb="FF003300"/>
      <rgbColor rgb="FF333300"/>
      <rgbColor rgb="FFA3182A"/>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1" activeCellId="0" sqref="A11"/>
    </sheetView>
  </sheetViews>
  <sheetFormatPr defaultColWidth="8.71484375" defaultRowHeight="15" zeroHeight="false" outlineLevelRow="0" outlineLevelCol="0"/>
  <cols>
    <col collapsed="false" customWidth="true" hidden="false" outlineLevel="0" max="1" min="1" style="1" width="120"/>
  </cols>
  <sheetData>
    <row r="1" customFormat="false" ht="18" hidden="false" customHeight="true" outlineLevel="0" collapsed="false">
      <c r="A1" s="2" t="s">
        <v>0</v>
      </c>
    </row>
    <row r="2" customFormat="false" ht="30" hidden="false" customHeight="true" outlineLevel="0" collapsed="false">
      <c r="A2" s="3" t="s">
        <v>1</v>
      </c>
    </row>
    <row r="3" customFormat="false" ht="15" hidden="false" customHeight="true" outlineLevel="0" collapsed="false">
      <c r="A3" s="4"/>
    </row>
    <row r="4" customFormat="false" ht="16.5" hidden="false" customHeight="true" outlineLevel="0" collapsed="false">
      <c r="A4" s="5" t="s">
        <v>2</v>
      </c>
    </row>
    <row r="5" customFormat="false" ht="30" hidden="false" customHeight="true" outlineLevel="0" collapsed="false">
      <c r="A5" s="4" t="s">
        <v>3</v>
      </c>
    </row>
    <row r="6" customFormat="false" ht="30" hidden="false" customHeight="true" outlineLevel="0" collapsed="false">
      <c r="A6" s="4" t="s">
        <v>4</v>
      </c>
    </row>
    <row r="7" customFormat="false" ht="16.5" hidden="false" customHeight="true" outlineLevel="0" collapsed="false">
      <c r="A7" s="4" t="s">
        <v>5</v>
      </c>
    </row>
    <row r="8" customFormat="false" ht="15" hidden="false" customHeight="true" outlineLevel="0" collapsed="false">
      <c r="A8" s="4"/>
    </row>
    <row r="9" customFormat="false" ht="16.5" hidden="false" customHeight="true" outlineLevel="0" collapsed="false">
      <c r="A9" s="5" t="s">
        <v>6</v>
      </c>
    </row>
    <row r="10" customFormat="false" ht="75" hidden="false" customHeight="true" outlineLevel="0" collapsed="false">
      <c r="A10" s="4" t="s">
        <v>7</v>
      </c>
    </row>
    <row r="11" customFormat="false" ht="15" hidden="false" customHeight="true" outlineLevel="0" collapsed="false">
      <c r="A11" s="4"/>
    </row>
    <row r="12" customFormat="false" ht="16.5" hidden="false" customHeight="true" outlineLevel="0" collapsed="false">
      <c r="A12" s="5" t="s">
        <v>8</v>
      </c>
    </row>
    <row r="13" customFormat="false" ht="250.5" hidden="false" customHeight="true" outlineLevel="0" collapsed="false">
      <c r="A13" s="4" t="s">
        <v>9</v>
      </c>
    </row>
    <row r="14" customFormat="false" ht="15" hidden="false" customHeight="true" outlineLevel="0" collapsed="false">
      <c r="A14" s="4"/>
    </row>
    <row r="15" customFormat="false" ht="16.5" hidden="false" customHeight="true" outlineLevel="0" collapsed="false">
      <c r="A15" s="5" t="s">
        <v>10</v>
      </c>
    </row>
    <row r="16" customFormat="false" ht="69" hidden="false" customHeight="true" outlineLevel="0" collapsed="false">
      <c r="A16" s="4" t="s">
        <v>11</v>
      </c>
    </row>
    <row r="17" customFormat="false" ht="15" hidden="false" customHeight="true" outlineLevel="0" collapsed="false">
      <c r="A17" s="4"/>
    </row>
    <row r="18" customFormat="false" ht="16.5" hidden="false" customHeight="true" outlineLevel="0" collapsed="false">
      <c r="A18" s="5" t="s">
        <v>12</v>
      </c>
    </row>
    <row r="19" customFormat="false" ht="81.75" hidden="false" customHeight="true" outlineLevel="0" collapsed="false">
      <c r="A19" s="4" t="s">
        <v>1</v>
      </c>
    </row>
    <row r="20" customFormat="false" ht="15" hidden="false" customHeight="true" outlineLevel="0" collapsed="false">
      <c r="A20" s="4"/>
    </row>
    <row r="21" customFormat="false" ht="16.5" hidden="false" customHeight="true" outlineLevel="0" collapsed="false">
      <c r="A21" s="5" t="s">
        <v>13</v>
      </c>
    </row>
    <row r="22" customFormat="false" ht="30" hidden="false" customHeight="true" outlineLevel="0" collapsed="false">
      <c r="A22" s="4" t="s">
        <v>14</v>
      </c>
    </row>
    <row r="23" customFormat="false" ht="15" hidden="false" customHeight="true" outlineLevel="0" collapsed="false">
      <c r="A23" s="4"/>
    </row>
    <row r="24" customFormat="false" ht="16.5" hidden="false" customHeight="true" outlineLevel="0" collapsed="false">
      <c r="A24" s="5" t="s">
        <v>15</v>
      </c>
    </row>
    <row r="25" customFormat="false" ht="94.5" hidden="false" customHeight="true" outlineLevel="0" collapsed="false">
      <c r="A25" s="4" t="s">
        <v>16</v>
      </c>
    </row>
    <row r="26" customFormat="false" ht="15" hidden="false" customHeight="true" outlineLevel="0" collapsed="false">
      <c r="A26" s="4"/>
    </row>
    <row r="27" customFormat="false" ht="15" hidden="false" customHeight="true" outlineLevel="0" collapsed="false">
      <c r="A27" s="5"/>
    </row>
    <row r="28" customFormat="false" ht="15" hidden="false" customHeight="true" outlineLevel="0" collapsed="false">
      <c r="A28" s="4"/>
    </row>
    <row r="29" customFormat="false" ht="15" hidden="false" customHeight="true" outlineLevel="0" collapsed="false">
      <c r="A29" s="4"/>
    </row>
    <row r="30" customFormat="false" ht="15" hidden="false" customHeight="true" outlineLevel="0" collapsed="false">
      <c r="A30" s="5"/>
    </row>
    <row r="31" customFormat="false" ht="15" hidden="false" customHeight="true" outlineLevel="0" collapsed="false">
      <c r="A31" s="4"/>
    </row>
    <row r="32" customFormat="false" ht="15" hidden="false" customHeight="true" outlineLevel="0" collapsed="false">
      <c r="A32" s="4"/>
    </row>
    <row r="33" customFormat="false" ht="15" hidden="false" customHeight="true" outlineLevel="0" collapsed="false">
      <c r="A33" s="5"/>
    </row>
    <row r="34" customFormat="false" ht="15" hidden="false" customHeight="true" outlineLevel="0" collapsed="false">
      <c r="A34"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D2" activeCellId="0" sqref="D2"/>
    </sheetView>
  </sheetViews>
  <sheetFormatPr defaultColWidth="8.71484375" defaultRowHeight="15" zeroHeight="false" outlineLevelRow="0" outlineLevelCol="0"/>
  <cols>
    <col collapsed="false" customWidth="true" hidden="false" outlineLevel="0" max="1" min="1" style="1" width="10.85"/>
    <col collapsed="false" customWidth="true" hidden="false" outlineLevel="0" max="2" min="2" style="1" width="55"/>
    <col collapsed="false" customWidth="true" hidden="false" outlineLevel="0" max="3" min="3" style="1" width="45"/>
    <col collapsed="false" customWidth="true" hidden="false" outlineLevel="0" max="4" min="4" style="1" width="18"/>
    <col collapsed="false" customWidth="true" hidden="false" outlineLevel="0" max="5" min="5" style="1" width="45"/>
    <col collapsed="false" customWidth="true" hidden="false" outlineLevel="0" max="6" min="6" style="1" width="17"/>
    <col collapsed="false" customWidth="true" hidden="false" outlineLevel="0" max="8" min="7" style="1" width="32"/>
  </cols>
  <sheetData>
    <row r="1" customFormat="false" ht="31.5" hidden="false" customHeight="true" outlineLevel="0" collapsed="false">
      <c r="A1" s="6" t="s">
        <v>17</v>
      </c>
      <c r="B1" s="6" t="s">
        <v>18</v>
      </c>
      <c r="C1" s="6" t="s">
        <v>19</v>
      </c>
      <c r="D1" s="6" t="s">
        <v>20</v>
      </c>
      <c r="E1" s="6" t="s">
        <v>21</v>
      </c>
      <c r="F1" s="6" t="s">
        <v>22</v>
      </c>
      <c r="G1" s="6" t="s">
        <v>23</v>
      </c>
      <c r="H1" s="6" t="s">
        <v>24</v>
      </c>
    </row>
    <row r="2" customFormat="false" ht="42.75" hidden="false" customHeight="true" outlineLevel="0" collapsed="false">
      <c r="A2" s="7" t="s">
        <v>25</v>
      </c>
      <c r="B2" s="8" t="s">
        <v>26</v>
      </c>
      <c r="C2" s="8" t="s">
        <v>27</v>
      </c>
      <c r="D2" s="8" t="s">
        <v>28</v>
      </c>
      <c r="E2" s="8" t="s">
        <v>29</v>
      </c>
      <c r="F2" s="8" t="s">
        <v>30</v>
      </c>
      <c r="G2" s="8" t="s">
        <v>31</v>
      </c>
      <c r="H2" s="8" t="s">
        <v>32</v>
      </c>
    </row>
    <row r="3" customFormat="false" ht="42.75" hidden="false" customHeight="true" outlineLevel="0" collapsed="false">
      <c r="A3" s="7" t="s">
        <v>33</v>
      </c>
      <c r="B3" s="8" t="s">
        <v>34</v>
      </c>
      <c r="C3" s="8" t="s">
        <v>35</v>
      </c>
      <c r="D3" s="8" t="s">
        <v>28</v>
      </c>
      <c r="E3" s="8" t="s">
        <v>29</v>
      </c>
      <c r="F3" s="8" t="s">
        <v>30</v>
      </c>
      <c r="G3" s="8" t="s">
        <v>36</v>
      </c>
      <c r="H3" s="8" t="s">
        <v>32</v>
      </c>
    </row>
    <row r="4" customFormat="false" ht="55.5" hidden="false" customHeight="true" outlineLevel="0" collapsed="false">
      <c r="A4" s="7" t="s">
        <v>37</v>
      </c>
      <c r="B4" s="8" t="s">
        <v>38</v>
      </c>
      <c r="C4" s="8" t="s">
        <v>39</v>
      </c>
      <c r="D4" s="8" t="s">
        <v>28</v>
      </c>
      <c r="E4" s="8" t="s">
        <v>29</v>
      </c>
      <c r="F4" s="8" t="s">
        <v>30</v>
      </c>
      <c r="G4" s="8" t="s">
        <v>40</v>
      </c>
      <c r="H4" s="8" t="s">
        <v>41</v>
      </c>
    </row>
    <row r="5" customFormat="false" ht="42.75" hidden="false" customHeight="true" outlineLevel="0" collapsed="false">
      <c r="A5" s="7" t="s">
        <v>42</v>
      </c>
      <c r="B5" s="8" t="s">
        <v>43</v>
      </c>
      <c r="C5" s="8" t="s">
        <v>44</v>
      </c>
      <c r="D5" s="8" t="s">
        <v>28</v>
      </c>
      <c r="E5" s="8" t="s">
        <v>45</v>
      </c>
      <c r="F5" s="8" t="s">
        <v>30</v>
      </c>
      <c r="G5" s="8" t="s">
        <v>46</v>
      </c>
      <c r="H5" s="8" t="s">
        <v>47</v>
      </c>
    </row>
    <row r="6" customFormat="false" ht="42.75" hidden="false" customHeight="true" outlineLevel="0" collapsed="false">
      <c r="A6" s="7" t="s">
        <v>48</v>
      </c>
      <c r="B6" s="8" t="s">
        <v>49</v>
      </c>
      <c r="C6" s="8" t="s">
        <v>50</v>
      </c>
      <c r="D6" s="8" t="s">
        <v>28</v>
      </c>
      <c r="E6" s="8" t="s">
        <v>51</v>
      </c>
      <c r="F6" s="8" t="s">
        <v>30</v>
      </c>
      <c r="G6" s="8" t="s">
        <v>52</v>
      </c>
      <c r="H6" s="8" t="s">
        <v>47</v>
      </c>
    </row>
    <row r="7" customFormat="false" ht="42.75" hidden="false" customHeight="true" outlineLevel="0" collapsed="false">
      <c r="A7" s="7" t="s">
        <v>53</v>
      </c>
      <c r="B7" s="8" t="s">
        <v>54</v>
      </c>
      <c r="C7" s="8" t="s">
        <v>55</v>
      </c>
      <c r="D7" s="8" t="s">
        <v>28</v>
      </c>
      <c r="E7" s="8" t="s">
        <v>56</v>
      </c>
      <c r="F7" s="8" t="s">
        <v>30</v>
      </c>
      <c r="G7" s="8" t="s">
        <v>57</v>
      </c>
      <c r="H7" s="8" t="s">
        <v>47</v>
      </c>
    </row>
    <row r="8" customFormat="false" ht="30" hidden="false" customHeight="true" outlineLevel="0" collapsed="false">
      <c r="A8" s="7" t="s">
        <v>58</v>
      </c>
      <c r="B8" s="8" t="s">
        <v>59</v>
      </c>
      <c r="C8" s="8" t="s">
        <v>60</v>
      </c>
      <c r="D8" s="8" t="s">
        <v>28</v>
      </c>
      <c r="E8" s="8" t="s">
        <v>61</v>
      </c>
      <c r="F8" s="8" t="s">
        <v>30</v>
      </c>
      <c r="G8" s="8" t="s">
        <v>62</v>
      </c>
      <c r="H8" s="8" t="s">
        <v>47</v>
      </c>
    </row>
    <row r="9" customFormat="false" ht="81.75" hidden="false" customHeight="true" outlineLevel="0" collapsed="false">
      <c r="A9" s="7" t="s">
        <v>63</v>
      </c>
      <c r="B9" s="8" t="s">
        <v>64</v>
      </c>
      <c r="C9" s="8" t="s">
        <v>65</v>
      </c>
      <c r="D9" s="8" t="s">
        <v>28</v>
      </c>
      <c r="E9" s="8" t="s">
        <v>66</v>
      </c>
      <c r="F9" s="8" t="s">
        <v>30</v>
      </c>
      <c r="G9" s="8" t="s">
        <v>67</v>
      </c>
      <c r="H9" s="8" t="s">
        <v>68</v>
      </c>
    </row>
    <row r="10" customFormat="false" ht="30" hidden="false" customHeight="true" outlineLevel="0" collapsed="false">
      <c r="A10" s="7" t="s">
        <v>69</v>
      </c>
      <c r="B10" s="8" t="s">
        <v>70</v>
      </c>
      <c r="C10" s="8" t="s">
        <v>71</v>
      </c>
      <c r="D10" s="8" t="s">
        <v>28</v>
      </c>
      <c r="E10" s="8" t="s">
        <v>72</v>
      </c>
      <c r="F10" s="8" t="s">
        <v>30</v>
      </c>
      <c r="G10" s="8" t="s">
        <v>73</v>
      </c>
      <c r="H10" s="8" t="s">
        <v>47</v>
      </c>
    </row>
    <row r="11" customFormat="false" ht="81.75" hidden="false" customHeight="true" outlineLevel="0" collapsed="false">
      <c r="A11" s="7" t="s">
        <v>74</v>
      </c>
      <c r="B11" s="8" t="s">
        <v>75</v>
      </c>
      <c r="C11" s="8" t="s">
        <v>76</v>
      </c>
      <c r="D11" s="8" t="s">
        <v>28</v>
      </c>
      <c r="E11" s="8" t="s">
        <v>29</v>
      </c>
      <c r="F11" s="8" t="s">
        <v>30</v>
      </c>
      <c r="G11" s="8" t="s">
        <v>77</v>
      </c>
      <c r="H11" s="8" t="s">
        <v>78</v>
      </c>
    </row>
    <row r="12" customFormat="false" ht="108" hidden="false" customHeight="true" outlineLevel="0" collapsed="false">
      <c r="A12" s="7" t="s">
        <v>79</v>
      </c>
      <c r="B12" s="8" t="s">
        <v>80</v>
      </c>
      <c r="C12" s="8" t="s">
        <v>81</v>
      </c>
      <c r="D12" s="8" t="s">
        <v>28</v>
      </c>
      <c r="E12" s="8" t="s">
        <v>82</v>
      </c>
      <c r="F12" s="8" t="s">
        <v>30</v>
      </c>
      <c r="G12" s="8" t="s">
        <v>83</v>
      </c>
      <c r="H12" s="8" t="s">
        <v>84</v>
      </c>
    </row>
    <row r="13" customFormat="false" ht="133.5" hidden="false" customHeight="true" outlineLevel="0" collapsed="false">
      <c r="A13" s="7" t="s">
        <v>85</v>
      </c>
      <c r="B13" s="8" t="s">
        <v>86</v>
      </c>
      <c r="C13" s="8" t="s">
        <v>87</v>
      </c>
      <c r="D13" s="8" t="s">
        <v>28</v>
      </c>
      <c r="E13" s="8" t="s">
        <v>88</v>
      </c>
      <c r="F13" s="8" t="s">
        <v>30</v>
      </c>
      <c r="G13" s="8" t="s">
        <v>89</v>
      </c>
      <c r="H13" s="8" t="s">
        <v>90</v>
      </c>
    </row>
    <row r="14" customFormat="false" ht="94.5" hidden="false" customHeight="true" outlineLevel="0" collapsed="false">
      <c r="A14" s="7" t="s">
        <v>91</v>
      </c>
      <c r="B14" s="8" t="s">
        <v>92</v>
      </c>
      <c r="C14" s="8" t="s">
        <v>93</v>
      </c>
      <c r="D14" s="8" t="s">
        <v>28</v>
      </c>
      <c r="E14" s="8" t="s">
        <v>94</v>
      </c>
      <c r="F14" s="8" t="s">
        <v>30</v>
      </c>
      <c r="G14" s="8" t="s">
        <v>95</v>
      </c>
      <c r="H14" s="8" t="s">
        <v>96</v>
      </c>
    </row>
    <row r="15" customFormat="false" ht="108" hidden="false" customHeight="true" outlineLevel="0" collapsed="false">
      <c r="A15" s="7" t="s">
        <v>97</v>
      </c>
      <c r="B15" s="8" t="s">
        <v>98</v>
      </c>
      <c r="C15" s="8" t="s">
        <v>99</v>
      </c>
      <c r="D15" s="8" t="s">
        <v>28</v>
      </c>
      <c r="E15" s="8" t="s">
        <v>100</v>
      </c>
      <c r="F15" s="8" t="s">
        <v>30</v>
      </c>
      <c r="G15" s="8" t="s">
        <v>101</v>
      </c>
      <c r="H15" s="8" t="s">
        <v>102</v>
      </c>
    </row>
    <row r="16" customFormat="false" ht="69" hidden="false" customHeight="true" outlineLevel="0" collapsed="false">
      <c r="A16" s="7" t="s">
        <v>103</v>
      </c>
      <c r="B16" s="8" t="s">
        <v>104</v>
      </c>
      <c r="C16" s="8" t="s">
        <v>105</v>
      </c>
      <c r="D16" s="8" t="s">
        <v>28</v>
      </c>
      <c r="E16" s="8" t="s">
        <v>106</v>
      </c>
      <c r="F16" s="8" t="s">
        <v>30</v>
      </c>
      <c r="G16" s="8" t="s">
        <v>107</v>
      </c>
      <c r="H16" s="8" t="s">
        <v>108</v>
      </c>
    </row>
    <row r="17" customFormat="false" ht="250.5" hidden="false" customHeight="true" outlineLevel="0" collapsed="false">
      <c r="A17" s="7" t="s">
        <v>109</v>
      </c>
      <c r="B17" s="8" t="s">
        <v>110</v>
      </c>
      <c r="C17" s="8" t="s">
        <v>111</v>
      </c>
      <c r="D17" s="8" t="s">
        <v>28</v>
      </c>
      <c r="E17" s="8" t="s">
        <v>112</v>
      </c>
      <c r="F17" s="8" t="s">
        <v>30</v>
      </c>
      <c r="G17" s="8" t="s">
        <v>113</v>
      </c>
      <c r="H17" s="8" t="s">
        <v>114</v>
      </c>
    </row>
    <row r="18" customFormat="false" ht="159.75" hidden="false" customHeight="true" outlineLevel="0" collapsed="false">
      <c r="A18" s="7" t="s">
        <v>115</v>
      </c>
      <c r="B18" s="8" t="s">
        <v>116</v>
      </c>
      <c r="C18" s="8" t="s">
        <v>117</v>
      </c>
      <c r="D18" s="8" t="s">
        <v>28</v>
      </c>
      <c r="E18" s="8" t="s">
        <v>118</v>
      </c>
      <c r="F18" s="8" t="s">
        <v>30</v>
      </c>
      <c r="G18" s="8" t="s">
        <v>119</v>
      </c>
      <c r="H18" s="8" t="s">
        <v>120</v>
      </c>
    </row>
    <row r="19" customFormat="false" ht="147" hidden="false" customHeight="true" outlineLevel="0" collapsed="false">
      <c r="A19" s="7" t="s">
        <v>121</v>
      </c>
      <c r="B19" s="8" t="s">
        <v>122</v>
      </c>
      <c r="C19" s="8" t="s">
        <v>123</v>
      </c>
      <c r="D19" s="8" t="s">
        <v>28</v>
      </c>
      <c r="E19" s="8" t="s">
        <v>124</v>
      </c>
      <c r="F19" s="8" t="s">
        <v>30</v>
      </c>
      <c r="G19" s="8" t="s">
        <v>125</v>
      </c>
      <c r="H19" s="8" t="s">
        <v>126</v>
      </c>
    </row>
    <row r="20" customFormat="false" ht="81.75" hidden="false" customHeight="true" outlineLevel="0" collapsed="false">
      <c r="A20" s="7" t="s">
        <v>127</v>
      </c>
      <c r="B20" s="8" t="s">
        <v>128</v>
      </c>
      <c r="C20" s="8" t="s">
        <v>129</v>
      </c>
      <c r="D20" s="8" t="s">
        <v>28</v>
      </c>
      <c r="E20" s="8" t="s">
        <v>130</v>
      </c>
      <c r="F20" s="8" t="s">
        <v>30</v>
      </c>
      <c r="G20" s="8" t="s">
        <v>131</v>
      </c>
      <c r="H20" s="8" t="s">
        <v>132</v>
      </c>
    </row>
    <row r="21" customFormat="false" ht="133.5" hidden="false" customHeight="true" outlineLevel="0" collapsed="false">
      <c r="A21" s="7" t="s">
        <v>133</v>
      </c>
      <c r="B21" s="8" t="s">
        <v>134</v>
      </c>
      <c r="C21" s="8" t="s">
        <v>135</v>
      </c>
      <c r="D21" s="8" t="s">
        <v>28</v>
      </c>
      <c r="E21" s="8" t="s">
        <v>136</v>
      </c>
      <c r="F21" s="8" t="s">
        <v>30</v>
      </c>
      <c r="G21" s="8" t="s">
        <v>137</v>
      </c>
      <c r="H21" s="8" t="s">
        <v>138</v>
      </c>
    </row>
    <row r="22" customFormat="false" ht="147" hidden="false" customHeight="true" outlineLevel="0" collapsed="false">
      <c r="A22" s="7" t="s">
        <v>139</v>
      </c>
      <c r="B22" s="8" t="s">
        <v>140</v>
      </c>
      <c r="C22" s="8" t="s">
        <v>141</v>
      </c>
      <c r="D22" s="8" t="s">
        <v>28</v>
      </c>
      <c r="E22" s="8" t="s">
        <v>142</v>
      </c>
      <c r="F22" s="8" t="s">
        <v>30</v>
      </c>
      <c r="G22" s="8" t="s">
        <v>143</v>
      </c>
      <c r="H22" s="8" t="s">
        <v>144</v>
      </c>
    </row>
    <row r="23" customFormat="false" ht="94.5" hidden="false" customHeight="true" outlineLevel="0" collapsed="false">
      <c r="A23" s="7" t="s">
        <v>145</v>
      </c>
      <c r="B23" s="8" t="s">
        <v>146</v>
      </c>
      <c r="C23" s="8" t="s">
        <v>147</v>
      </c>
      <c r="D23" s="8" t="s">
        <v>28</v>
      </c>
      <c r="E23" s="8" t="s">
        <v>82</v>
      </c>
      <c r="F23" s="8" t="s">
        <v>30</v>
      </c>
      <c r="G23" s="8" t="s">
        <v>148</v>
      </c>
      <c r="H23" s="8" t="s">
        <v>149</v>
      </c>
    </row>
    <row r="24" customFormat="false" ht="81.75" hidden="false" customHeight="true" outlineLevel="0" collapsed="false">
      <c r="A24" s="7" t="s">
        <v>150</v>
      </c>
      <c r="B24" s="8" t="s">
        <v>151</v>
      </c>
      <c r="C24" s="8" t="s">
        <v>152</v>
      </c>
      <c r="D24" s="8" t="s">
        <v>28</v>
      </c>
      <c r="E24" s="8" t="s">
        <v>153</v>
      </c>
      <c r="F24" s="8" t="s">
        <v>30</v>
      </c>
      <c r="G24" s="8" t="s">
        <v>154</v>
      </c>
      <c r="H24" s="8" t="s">
        <v>155</v>
      </c>
    </row>
    <row r="25" customFormat="false" ht="120.75" hidden="false" customHeight="true" outlineLevel="0" collapsed="false">
      <c r="A25" s="7" t="s">
        <v>156</v>
      </c>
      <c r="B25" s="8" t="s">
        <v>157</v>
      </c>
      <c r="C25" s="8" t="s">
        <v>158</v>
      </c>
      <c r="D25" s="8" t="s">
        <v>28</v>
      </c>
      <c r="E25" s="8" t="s">
        <v>159</v>
      </c>
      <c r="F25" s="8" t="s">
        <v>30</v>
      </c>
      <c r="G25" s="8" t="s">
        <v>160</v>
      </c>
      <c r="H25" s="8" t="s">
        <v>161</v>
      </c>
    </row>
    <row r="26" customFormat="false" ht="69" hidden="false" customHeight="true" outlineLevel="0" collapsed="false">
      <c r="A26" s="7" t="s">
        <v>162</v>
      </c>
      <c r="B26" s="8" t="s">
        <v>163</v>
      </c>
      <c r="C26" s="8" t="s">
        <v>164</v>
      </c>
      <c r="D26" s="8" t="s">
        <v>28</v>
      </c>
      <c r="E26" s="8" t="s">
        <v>82</v>
      </c>
      <c r="F26" s="8" t="s">
        <v>30</v>
      </c>
      <c r="G26" s="8" t="s">
        <v>165</v>
      </c>
      <c r="H26" s="8" t="s">
        <v>166</v>
      </c>
    </row>
    <row r="27" customFormat="false" ht="81.75" hidden="false" customHeight="true" outlineLevel="0" collapsed="false">
      <c r="A27" s="7" t="s">
        <v>167</v>
      </c>
      <c r="B27" s="8" t="s">
        <v>168</v>
      </c>
      <c r="C27" s="8" t="s">
        <v>169</v>
      </c>
      <c r="D27" s="8" t="s">
        <v>28</v>
      </c>
      <c r="E27" s="8" t="s">
        <v>170</v>
      </c>
      <c r="F27" s="8" t="s">
        <v>30</v>
      </c>
      <c r="G27" s="8" t="s">
        <v>171</v>
      </c>
      <c r="H27" s="8" t="s">
        <v>172</v>
      </c>
    </row>
    <row r="28" customFormat="false" ht="69" hidden="false" customHeight="true" outlineLevel="0" collapsed="false">
      <c r="A28" s="7" t="s">
        <v>173</v>
      </c>
      <c r="B28" s="8" t="s">
        <v>174</v>
      </c>
      <c r="C28" s="8" t="s">
        <v>175</v>
      </c>
      <c r="D28" s="8" t="s">
        <v>176</v>
      </c>
      <c r="E28" s="8" t="s">
        <v>177</v>
      </c>
      <c r="F28" s="8" t="s">
        <v>176</v>
      </c>
      <c r="G28" s="8" t="s">
        <v>178</v>
      </c>
      <c r="H28" s="8" t="s">
        <v>179</v>
      </c>
    </row>
    <row r="29" customFormat="false" ht="42.75" hidden="false" customHeight="true" outlineLevel="0" collapsed="false">
      <c r="A29" s="7" t="s">
        <v>180</v>
      </c>
      <c r="B29" s="8" t="s">
        <v>181</v>
      </c>
      <c r="C29" s="8" t="s">
        <v>182</v>
      </c>
      <c r="D29" s="8" t="s">
        <v>176</v>
      </c>
      <c r="E29" s="8" t="s">
        <v>183</v>
      </c>
      <c r="F29" s="8" t="s">
        <v>176</v>
      </c>
      <c r="G29" s="8" t="s">
        <v>184</v>
      </c>
      <c r="H29" s="8" t="s">
        <v>185</v>
      </c>
    </row>
    <row r="30" customFormat="false" ht="69" hidden="false" customHeight="true" outlineLevel="0" collapsed="false">
      <c r="A30" s="7" t="s">
        <v>186</v>
      </c>
      <c r="B30" s="8" t="s">
        <v>187</v>
      </c>
      <c r="C30" s="8" t="s">
        <v>188</v>
      </c>
      <c r="D30" s="8" t="s">
        <v>176</v>
      </c>
      <c r="E30" s="8" t="s">
        <v>189</v>
      </c>
      <c r="F30" s="8" t="s">
        <v>176</v>
      </c>
      <c r="G30" s="8" t="s">
        <v>190</v>
      </c>
      <c r="H30" s="8" t="s">
        <v>185</v>
      </c>
    </row>
    <row r="31" customFormat="false" ht="81.75" hidden="false" customHeight="true" outlineLevel="0" collapsed="false">
      <c r="A31" s="7" t="s">
        <v>191</v>
      </c>
      <c r="B31" s="8" t="s">
        <v>192</v>
      </c>
      <c r="C31" s="8" t="s">
        <v>193</v>
      </c>
      <c r="D31" s="8" t="s">
        <v>176</v>
      </c>
      <c r="E31" s="8" t="s">
        <v>194</v>
      </c>
      <c r="F31" s="8" t="s">
        <v>176</v>
      </c>
      <c r="G31" s="8" t="s">
        <v>195</v>
      </c>
      <c r="H31" s="8" t="s">
        <v>196</v>
      </c>
    </row>
    <row r="32" customFormat="false" ht="147" hidden="false" customHeight="true" outlineLevel="0" collapsed="false">
      <c r="A32" s="7" t="s">
        <v>197</v>
      </c>
      <c r="B32" s="8" t="s">
        <v>198</v>
      </c>
      <c r="C32" s="8" t="s">
        <v>199</v>
      </c>
      <c r="D32" s="8" t="s">
        <v>176</v>
      </c>
      <c r="E32" s="8" t="s">
        <v>200</v>
      </c>
      <c r="F32" s="8" t="s">
        <v>176</v>
      </c>
      <c r="G32" s="8" t="s">
        <v>201</v>
      </c>
      <c r="H32" s="8" t="s">
        <v>202</v>
      </c>
    </row>
    <row r="33" customFormat="false" ht="69" hidden="false" customHeight="true" outlineLevel="0" collapsed="false">
      <c r="A33" s="7" t="s">
        <v>203</v>
      </c>
      <c r="B33" s="8" t="s">
        <v>204</v>
      </c>
      <c r="C33" s="8" t="s">
        <v>205</v>
      </c>
      <c r="D33" s="8" t="s">
        <v>176</v>
      </c>
      <c r="E33" s="8" t="s">
        <v>206</v>
      </c>
      <c r="F33" s="8" t="s">
        <v>176</v>
      </c>
      <c r="G33" s="8" t="s">
        <v>207</v>
      </c>
      <c r="H33" s="8" t="s">
        <v>208</v>
      </c>
    </row>
    <row r="34" customFormat="false" ht="42.75" hidden="false" customHeight="true" outlineLevel="0" collapsed="false">
      <c r="A34" s="7" t="s">
        <v>209</v>
      </c>
      <c r="B34" s="8" t="s">
        <v>210</v>
      </c>
      <c r="C34" s="8" t="s">
        <v>211</v>
      </c>
      <c r="D34" s="8" t="s">
        <v>176</v>
      </c>
      <c r="E34" s="8" t="s">
        <v>212</v>
      </c>
      <c r="F34" s="8" t="s">
        <v>176</v>
      </c>
      <c r="G34" s="8" t="s">
        <v>213</v>
      </c>
      <c r="H34" s="8" t="s">
        <v>214</v>
      </c>
    </row>
    <row r="35" customFormat="false" ht="120.75" hidden="false" customHeight="true" outlineLevel="0" collapsed="false">
      <c r="A35" s="7" t="s">
        <v>215</v>
      </c>
      <c r="B35" s="8" t="s">
        <v>216</v>
      </c>
      <c r="C35" s="8" t="s">
        <v>217</v>
      </c>
      <c r="D35" s="8" t="s">
        <v>176</v>
      </c>
      <c r="E35" s="8" t="s">
        <v>218</v>
      </c>
      <c r="F35" s="8" t="s">
        <v>176</v>
      </c>
      <c r="G35" s="8" t="s">
        <v>219</v>
      </c>
      <c r="H35" s="8" t="s">
        <v>220</v>
      </c>
    </row>
    <row r="36" customFormat="false" ht="30" hidden="false" customHeight="true" outlineLevel="0" collapsed="false">
      <c r="A36" s="7" t="s">
        <v>221</v>
      </c>
      <c r="B36" s="8" t="s">
        <v>222</v>
      </c>
      <c r="C36" s="8" t="s">
        <v>223</v>
      </c>
      <c r="D36" s="8" t="s">
        <v>176</v>
      </c>
      <c r="E36" s="8" t="s">
        <v>224</v>
      </c>
      <c r="F36" s="8" t="s">
        <v>176</v>
      </c>
      <c r="G36" s="8" t="s">
        <v>225</v>
      </c>
      <c r="H36" s="8" t="s">
        <v>226</v>
      </c>
    </row>
    <row r="37" customFormat="false" ht="30" hidden="false" customHeight="true" outlineLevel="0" collapsed="false">
      <c r="A37" s="7" t="s">
        <v>227</v>
      </c>
      <c r="B37" s="8" t="s">
        <v>228</v>
      </c>
      <c r="C37" s="8" t="s">
        <v>229</v>
      </c>
      <c r="D37" s="8" t="s">
        <v>176</v>
      </c>
      <c r="E37" s="8" t="s">
        <v>230</v>
      </c>
      <c r="F37" s="8" t="s">
        <v>176</v>
      </c>
      <c r="G37" s="8" t="s">
        <v>231</v>
      </c>
      <c r="H37" s="8" t="s">
        <v>226</v>
      </c>
    </row>
    <row r="38" customFormat="false" ht="108" hidden="false" customHeight="true" outlineLevel="0" collapsed="false">
      <c r="A38" s="7" t="s">
        <v>232</v>
      </c>
      <c r="B38" s="8" t="s">
        <v>233</v>
      </c>
      <c r="C38" s="8" t="s">
        <v>234</v>
      </c>
      <c r="D38" s="8" t="s">
        <v>176</v>
      </c>
      <c r="E38" s="8" t="s">
        <v>235</v>
      </c>
      <c r="F38" s="8" t="s">
        <v>176</v>
      </c>
      <c r="G38" s="8" t="s">
        <v>219</v>
      </c>
      <c r="H38" s="8" t="s">
        <v>236</v>
      </c>
    </row>
    <row r="39" customFormat="false" ht="55.5" hidden="false" customHeight="true" outlineLevel="0" collapsed="false">
      <c r="A39" s="7" t="s">
        <v>237</v>
      </c>
      <c r="B39" s="8" t="s">
        <v>238</v>
      </c>
      <c r="C39" s="8" t="s">
        <v>239</v>
      </c>
      <c r="D39" s="8" t="s">
        <v>176</v>
      </c>
      <c r="E39" s="8" t="s">
        <v>240</v>
      </c>
      <c r="F39" s="8" t="s">
        <v>176</v>
      </c>
      <c r="G39" s="8" t="s">
        <v>241</v>
      </c>
      <c r="H39" s="8" t="s">
        <v>242</v>
      </c>
    </row>
    <row r="40" customFormat="false" ht="81.75" hidden="false" customHeight="true" outlineLevel="0" collapsed="false">
      <c r="A40" s="7" t="s">
        <v>243</v>
      </c>
      <c r="B40" s="8" t="s">
        <v>244</v>
      </c>
      <c r="C40" s="8" t="s">
        <v>245</v>
      </c>
      <c r="D40" s="8" t="s">
        <v>176</v>
      </c>
      <c r="E40" s="8" t="s">
        <v>230</v>
      </c>
      <c r="F40" s="8" t="s">
        <v>176</v>
      </c>
      <c r="G40" s="8" t="s">
        <v>246</v>
      </c>
      <c r="H40" s="8" t="s">
        <v>247</v>
      </c>
    </row>
    <row r="41" customFormat="false" ht="42.75" hidden="false" customHeight="true" outlineLevel="0" collapsed="false">
      <c r="A41" s="7" t="s">
        <v>248</v>
      </c>
      <c r="B41" s="8" t="s">
        <v>249</v>
      </c>
      <c r="C41" s="8" t="s">
        <v>250</v>
      </c>
      <c r="D41" s="8" t="s">
        <v>176</v>
      </c>
      <c r="E41" s="8" t="s">
        <v>251</v>
      </c>
      <c r="F41" s="8" t="s">
        <v>176</v>
      </c>
      <c r="G41" s="8" t="s">
        <v>252</v>
      </c>
      <c r="H41" s="8" t="s">
        <v>253</v>
      </c>
    </row>
    <row r="42" customFormat="false" ht="69" hidden="false" customHeight="true" outlineLevel="0" collapsed="false">
      <c r="A42" s="7" t="s">
        <v>254</v>
      </c>
      <c r="B42" s="8" t="s">
        <v>255</v>
      </c>
      <c r="C42" s="8" t="s">
        <v>256</v>
      </c>
      <c r="D42" s="8" t="s">
        <v>176</v>
      </c>
      <c r="E42" s="8" t="s">
        <v>257</v>
      </c>
      <c r="F42" s="8" t="s">
        <v>176</v>
      </c>
      <c r="G42" s="8" t="s">
        <v>258</v>
      </c>
      <c r="H42" s="8" t="s">
        <v>259</v>
      </c>
    </row>
    <row r="43" customFormat="false" ht="120.75" hidden="false" customHeight="true" outlineLevel="0" collapsed="false">
      <c r="A43" s="7" t="s">
        <v>260</v>
      </c>
      <c r="B43" s="8" t="s">
        <v>261</v>
      </c>
      <c r="C43" s="8" t="s">
        <v>262</v>
      </c>
      <c r="D43" s="8" t="s">
        <v>176</v>
      </c>
      <c r="E43" s="8" t="s">
        <v>263</v>
      </c>
      <c r="F43" s="8" t="s">
        <v>176</v>
      </c>
      <c r="G43" s="8" t="s">
        <v>264</v>
      </c>
      <c r="H43" s="8" t="s">
        <v>265</v>
      </c>
    </row>
    <row r="44" customFormat="false" ht="81.75" hidden="false" customHeight="true" outlineLevel="0" collapsed="false">
      <c r="A44" s="7" t="s">
        <v>266</v>
      </c>
      <c r="B44" s="8" t="s">
        <v>267</v>
      </c>
      <c r="C44" s="8" t="s">
        <v>268</v>
      </c>
      <c r="D44" s="8" t="s">
        <v>176</v>
      </c>
      <c r="E44" s="8" t="s">
        <v>224</v>
      </c>
      <c r="F44" s="8" t="s">
        <v>176</v>
      </c>
      <c r="G44" s="8" t="s">
        <v>269</v>
      </c>
      <c r="H44" s="8" t="s">
        <v>270</v>
      </c>
    </row>
    <row r="45" customFormat="false" ht="159.75" hidden="false" customHeight="true" outlineLevel="0" collapsed="false">
      <c r="A45" s="7" t="s">
        <v>271</v>
      </c>
      <c r="B45" s="8" t="s">
        <v>272</v>
      </c>
      <c r="C45" s="8" t="s">
        <v>273</v>
      </c>
      <c r="D45" s="8" t="s">
        <v>176</v>
      </c>
      <c r="E45" s="8" t="s">
        <v>224</v>
      </c>
      <c r="F45" s="8" t="s">
        <v>176</v>
      </c>
      <c r="G45" s="8" t="s">
        <v>274</v>
      </c>
      <c r="H45" s="8" t="s">
        <v>275</v>
      </c>
    </row>
    <row r="46" customFormat="false" ht="108" hidden="false" customHeight="true" outlineLevel="0" collapsed="false">
      <c r="A46" s="7" t="s">
        <v>276</v>
      </c>
      <c r="B46" s="8" t="s">
        <v>277</v>
      </c>
      <c r="C46" s="8" t="s">
        <v>278</v>
      </c>
      <c r="D46" s="8" t="s">
        <v>176</v>
      </c>
      <c r="E46" s="8" t="s">
        <v>279</v>
      </c>
      <c r="F46" s="8" t="s">
        <v>176</v>
      </c>
      <c r="G46" s="8" t="s">
        <v>280</v>
      </c>
      <c r="H46" s="8" t="s">
        <v>281</v>
      </c>
    </row>
    <row r="47" customFormat="false" ht="159.75" hidden="false" customHeight="true" outlineLevel="0" collapsed="false">
      <c r="A47" s="7" t="s">
        <v>282</v>
      </c>
      <c r="B47" s="8" t="s">
        <v>283</v>
      </c>
      <c r="C47" s="8" t="s">
        <v>284</v>
      </c>
      <c r="D47" s="8" t="s">
        <v>176</v>
      </c>
      <c r="E47" s="8" t="s">
        <v>285</v>
      </c>
      <c r="F47" s="8" t="s">
        <v>176</v>
      </c>
      <c r="G47" s="8" t="s">
        <v>286</v>
      </c>
      <c r="H47" s="8" t="s">
        <v>287</v>
      </c>
    </row>
    <row r="48" customFormat="false" ht="147" hidden="false" customHeight="true" outlineLevel="0" collapsed="false">
      <c r="A48" s="7" t="s">
        <v>288</v>
      </c>
      <c r="B48" s="8" t="s">
        <v>289</v>
      </c>
      <c r="C48" s="8" t="s">
        <v>290</v>
      </c>
      <c r="D48" s="8" t="s">
        <v>176</v>
      </c>
      <c r="E48" s="8" t="s">
        <v>291</v>
      </c>
      <c r="F48" s="8" t="s">
        <v>176</v>
      </c>
      <c r="G48" s="8" t="s">
        <v>292</v>
      </c>
      <c r="H48" s="8" t="s">
        <v>293</v>
      </c>
    </row>
    <row r="49" customFormat="false" ht="94.5" hidden="false" customHeight="true" outlineLevel="0" collapsed="false">
      <c r="A49" s="7" t="s">
        <v>294</v>
      </c>
      <c r="B49" s="8" t="s">
        <v>295</v>
      </c>
      <c r="C49" s="8" t="s">
        <v>296</v>
      </c>
      <c r="D49" s="8" t="s">
        <v>176</v>
      </c>
      <c r="E49" s="8" t="s">
        <v>297</v>
      </c>
      <c r="F49" s="8" t="s">
        <v>176</v>
      </c>
      <c r="G49" s="8" t="s">
        <v>298</v>
      </c>
      <c r="H49" s="8" t="s">
        <v>299</v>
      </c>
    </row>
    <row r="50" customFormat="false" ht="172.5" hidden="false" customHeight="true" outlineLevel="0" collapsed="false">
      <c r="A50" s="7" t="s">
        <v>300</v>
      </c>
      <c r="B50" s="8" t="s">
        <v>301</v>
      </c>
      <c r="C50" s="8" t="s">
        <v>302</v>
      </c>
      <c r="D50" s="8" t="s">
        <v>176</v>
      </c>
      <c r="E50" s="8" t="s">
        <v>303</v>
      </c>
      <c r="F50" s="8" t="s">
        <v>176</v>
      </c>
      <c r="G50" s="8" t="s">
        <v>304</v>
      </c>
      <c r="H50" s="8" t="s">
        <v>305</v>
      </c>
    </row>
    <row r="51" customFormat="false" ht="94.5" hidden="false" customHeight="true" outlineLevel="0" collapsed="false">
      <c r="A51" s="7" t="s">
        <v>306</v>
      </c>
      <c r="B51" s="8" t="s">
        <v>307</v>
      </c>
      <c r="C51" s="8" t="s">
        <v>308</v>
      </c>
      <c r="D51" s="8" t="s">
        <v>176</v>
      </c>
      <c r="E51" s="8" t="s">
        <v>309</v>
      </c>
      <c r="F51" s="8" t="s">
        <v>176</v>
      </c>
      <c r="G51" s="8" t="s">
        <v>310</v>
      </c>
      <c r="H51" s="8" t="s">
        <v>311</v>
      </c>
    </row>
    <row r="52" customFormat="false" ht="186" hidden="false" customHeight="true" outlineLevel="0" collapsed="false">
      <c r="A52" s="7" t="s">
        <v>312</v>
      </c>
      <c r="B52" s="8" t="s">
        <v>313</v>
      </c>
      <c r="C52" s="8" t="s">
        <v>314</v>
      </c>
      <c r="D52" s="8" t="s">
        <v>176</v>
      </c>
      <c r="E52" s="8" t="s">
        <v>315</v>
      </c>
      <c r="F52" s="8" t="s">
        <v>176</v>
      </c>
      <c r="G52" s="8" t="s">
        <v>316</v>
      </c>
      <c r="H52" s="8" t="s">
        <v>317</v>
      </c>
    </row>
    <row r="53" customFormat="false" ht="120.75" hidden="false" customHeight="true" outlineLevel="0" collapsed="false">
      <c r="A53" s="7" t="s">
        <v>318</v>
      </c>
      <c r="B53" s="8" t="s">
        <v>319</v>
      </c>
      <c r="C53" s="8" t="s">
        <v>320</v>
      </c>
      <c r="D53" s="8" t="s">
        <v>176</v>
      </c>
      <c r="E53" s="8" t="s">
        <v>321</v>
      </c>
      <c r="F53" s="8" t="s">
        <v>176</v>
      </c>
      <c r="G53" s="8" t="s">
        <v>322</v>
      </c>
      <c r="H53" s="8" t="s">
        <v>323</v>
      </c>
    </row>
    <row r="54" customFormat="false" ht="69" hidden="false" customHeight="true" outlineLevel="0" collapsed="false">
      <c r="A54" s="7" t="s">
        <v>324</v>
      </c>
      <c r="B54" s="8" t="s">
        <v>325</v>
      </c>
      <c r="C54" s="8" t="s">
        <v>326</v>
      </c>
      <c r="D54" s="8" t="s">
        <v>176</v>
      </c>
      <c r="E54" s="8" t="s">
        <v>177</v>
      </c>
      <c r="F54" s="8" t="s">
        <v>176</v>
      </c>
      <c r="G54" s="8" t="s">
        <v>327</v>
      </c>
      <c r="H54" s="8" t="s">
        <v>328</v>
      </c>
    </row>
    <row r="55" customFormat="false" ht="133.5" hidden="false" customHeight="true" outlineLevel="0" collapsed="false">
      <c r="A55" s="7" t="s">
        <v>329</v>
      </c>
      <c r="B55" s="8" t="s">
        <v>330</v>
      </c>
      <c r="C55" s="8" t="s">
        <v>331</v>
      </c>
      <c r="D55" s="8" t="s">
        <v>176</v>
      </c>
      <c r="E55" s="8" t="s">
        <v>332</v>
      </c>
      <c r="F55" s="8" t="s">
        <v>176</v>
      </c>
      <c r="G55" s="8" t="s">
        <v>333</v>
      </c>
      <c r="H55" s="8" t="s">
        <v>334</v>
      </c>
    </row>
    <row r="56" customFormat="false" ht="81.75" hidden="false" customHeight="true" outlineLevel="0" collapsed="false">
      <c r="A56" s="7" t="s">
        <v>335</v>
      </c>
      <c r="B56" s="8" t="s">
        <v>336</v>
      </c>
      <c r="C56" s="8" t="s">
        <v>337</v>
      </c>
      <c r="D56" s="8" t="s">
        <v>176</v>
      </c>
      <c r="E56" s="8" t="s">
        <v>338</v>
      </c>
      <c r="F56" s="8" t="s">
        <v>176</v>
      </c>
      <c r="G56" s="8" t="s">
        <v>339</v>
      </c>
      <c r="H56" s="8" t="s">
        <v>340</v>
      </c>
    </row>
    <row r="57" customFormat="false" ht="108" hidden="false" customHeight="true" outlineLevel="0" collapsed="false">
      <c r="A57" s="7" t="s">
        <v>341</v>
      </c>
      <c r="B57" s="8" t="s">
        <v>342</v>
      </c>
      <c r="C57" s="8" t="s">
        <v>343</v>
      </c>
      <c r="D57" s="8" t="s">
        <v>176</v>
      </c>
      <c r="E57" s="8" t="s">
        <v>344</v>
      </c>
      <c r="F57" s="8" t="s">
        <v>176</v>
      </c>
      <c r="G57" s="8" t="s">
        <v>345</v>
      </c>
      <c r="H57" s="8" t="s">
        <v>346</v>
      </c>
    </row>
    <row r="58" customFormat="false" ht="94.5" hidden="false" customHeight="true" outlineLevel="0" collapsed="false">
      <c r="A58" s="7" t="s">
        <v>347</v>
      </c>
      <c r="B58" s="8" t="s">
        <v>348</v>
      </c>
      <c r="C58" s="8" t="s">
        <v>349</v>
      </c>
      <c r="D58" s="8" t="s">
        <v>176</v>
      </c>
      <c r="E58" s="8" t="s">
        <v>315</v>
      </c>
      <c r="F58" s="8" t="s">
        <v>176</v>
      </c>
      <c r="G58" s="8" t="s">
        <v>350</v>
      </c>
      <c r="H58" s="8" t="s">
        <v>351</v>
      </c>
    </row>
    <row r="59" customFormat="false" ht="172.5" hidden="false" customHeight="true" outlineLevel="0" collapsed="false">
      <c r="A59" s="7" t="s">
        <v>352</v>
      </c>
      <c r="B59" s="8" t="s">
        <v>353</v>
      </c>
      <c r="C59" s="8" t="s">
        <v>354</v>
      </c>
      <c r="D59" s="8" t="s">
        <v>176</v>
      </c>
      <c r="E59" s="8" t="s">
        <v>355</v>
      </c>
      <c r="F59" s="8" t="s">
        <v>176</v>
      </c>
      <c r="G59" s="8" t="s">
        <v>356</v>
      </c>
      <c r="H59" s="8" t="s">
        <v>357</v>
      </c>
    </row>
    <row r="60" customFormat="false" ht="108" hidden="false" customHeight="true" outlineLevel="0" collapsed="false">
      <c r="A60" s="7" t="s">
        <v>358</v>
      </c>
      <c r="B60" s="8" t="s">
        <v>359</v>
      </c>
      <c r="C60" s="8" t="s">
        <v>360</v>
      </c>
      <c r="D60" s="8" t="s">
        <v>176</v>
      </c>
      <c r="E60" s="8" t="s">
        <v>361</v>
      </c>
      <c r="F60" s="8" t="s">
        <v>176</v>
      </c>
      <c r="G60" s="8" t="s">
        <v>362</v>
      </c>
      <c r="H60" s="8" t="s">
        <v>363</v>
      </c>
    </row>
    <row r="61" customFormat="false" ht="120.75" hidden="false" customHeight="true" outlineLevel="0" collapsed="false">
      <c r="A61" s="7" t="s">
        <v>364</v>
      </c>
      <c r="B61" s="8" t="s">
        <v>365</v>
      </c>
      <c r="C61" s="8" t="s">
        <v>366</v>
      </c>
      <c r="D61" s="8" t="s">
        <v>176</v>
      </c>
      <c r="E61" s="8" t="s">
        <v>367</v>
      </c>
      <c r="F61" s="8" t="s">
        <v>176</v>
      </c>
      <c r="G61" s="8" t="s">
        <v>368</v>
      </c>
      <c r="H61" s="8" t="s">
        <v>369</v>
      </c>
    </row>
    <row r="62" customFormat="false" ht="69" hidden="false" customHeight="true" outlineLevel="0" collapsed="false">
      <c r="A62" s="7" t="s">
        <v>370</v>
      </c>
      <c r="B62" s="8" t="s">
        <v>371</v>
      </c>
      <c r="C62" s="8" t="s">
        <v>372</v>
      </c>
      <c r="D62" s="8" t="s">
        <v>176</v>
      </c>
      <c r="E62" s="8" t="s">
        <v>373</v>
      </c>
      <c r="F62" s="8" t="s">
        <v>176</v>
      </c>
      <c r="G62" s="8" t="s">
        <v>374</v>
      </c>
      <c r="H62" s="8" t="s">
        <v>375</v>
      </c>
    </row>
    <row r="63" customFormat="false" ht="94.5" hidden="false" customHeight="true" outlineLevel="0" collapsed="false">
      <c r="A63" s="7" t="s">
        <v>376</v>
      </c>
      <c r="B63" s="8" t="s">
        <v>377</v>
      </c>
      <c r="C63" s="8" t="s">
        <v>378</v>
      </c>
      <c r="D63" s="8" t="s">
        <v>176</v>
      </c>
      <c r="E63" s="8" t="s">
        <v>379</v>
      </c>
      <c r="F63" s="8" t="s">
        <v>176</v>
      </c>
      <c r="G63" s="8" t="s">
        <v>380</v>
      </c>
      <c r="H63" s="8" t="s">
        <v>381</v>
      </c>
    </row>
    <row r="64" customFormat="false" ht="108" hidden="false" customHeight="true" outlineLevel="0" collapsed="false">
      <c r="A64" s="7" t="s">
        <v>382</v>
      </c>
      <c r="B64" s="8" t="s">
        <v>383</v>
      </c>
      <c r="C64" s="8" t="s">
        <v>384</v>
      </c>
      <c r="D64" s="8" t="s">
        <v>385</v>
      </c>
      <c r="E64" s="8" t="s">
        <v>386</v>
      </c>
      <c r="F64" s="8" t="s">
        <v>176</v>
      </c>
      <c r="G64" s="8" t="s">
        <v>387</v>
      </c>
      <c r="H64" s="8" t="s">
        <v>388</v>
      </c>
    </row>
    <row r="65" customFormat="false" ht="55.5" hidden="false" customHeight="true" outlineLevel="0" collapsed="false">
      <c r="A65" s="7" t="s">
        <v>389</v>
      </c>
      <c r="B65" s="8" t="s">
        <v>390</v>
      </c>
      <c r="C65" s="8" t="s">
        <v>391</v>
      </c>
      <c r="D65" s="8" t="s">
        <v>385</v>
      </c>
      <c r="E65" s="8" t="s">
        <v>392</v>
      </c>
      <c r="F65" s="8" t="s">
        <v>30</v>
      </c>
      <c r="G65" s="8" t="s">
        <v>40</v>
      </c>
      <c r="H65" s="8" t="s">
        <v>393</v>
      </c>
    </row>
    <row r="66" customFormat="false" ht="42.75" hidden="false" customHeight="true" outlineLevel="0" collapsed="false">
      <c r="A66" s="7" t="s">
        <v>394</v>
      </c>
      <c r="B66" s="8" t="s">
        <v>395</v>
      </c>
      <c r="C66" s="8" t="s">
        <v>396</v>
      </c>
      <c r="D66" s="8" t="s">
        <v>385</v>
      </c>
      <c r="E66" s="8" t="s">
        <v>397</v>
      </c>
      <c r="F66" s="8" t="s">
        <v>30</v>
      </c>
      <c r="G66" s="8" t="s">
        <v>46</v>
      </c>
      <c r="H66" s="8" t="s">
        <v>398</v>
      </c>
    </row>
    <row r="67" customFormat="false" ht="42.75" hidden="false" customHeight="true" outlineLevel="0" collapsed="false">
      <c r="A67" s="7" t="s">
        <v>399</v>
      </c>
      <c r="B67" s="8" t="s">
        <v>400</v>
      </c>
      <c r="C67" s="8" t="s">
        <v>401</v>
      </c>
      <c r="D67" s="8" t="s">
        <v>385</v>
      </c>
      <c r="E67" s="8" t="s">
        <v>402</v>
      </c>
      <c r="F67" s="8" t="s">
        <v>30</v>
      </c>
      <c r="G67" s="8" t="s">
        <v>403</v>
      </c>
      <c r="H67" s="8" t="s">
        <v>398</v>
      </c>
    </row>
    <row r="68" customFormat="false" ht="81.75" hidden="false" customHeight="true" outlineLevel="0" collapsed="false">
      <c r="A68" s="7" t="s">
        <v>404</v>
      </c>
      <c r="B68" s="8" t="s">
        <v>405</v>
      </c>
      <c r="C68" s="8" t="s">
        <v>406</v>
      </c>
      <c r="D68" s="8" t="s">
        <v>385</v>
      </c>
      <c r="E68" s="8" t="s">
        <v>407</v>
      </c>
      <c r="F68" s="8" t="s">
        <v>176</v>
      </c>
      <c r="G68" s="8" t="s">
        <v>408</v>
      </c>
      <c r="H68" s="8" t="s">
        <v>409</v>
      </c>
    </row>
    <row r="69" customFormat="false" ht="55.5" hidden="false" customHeight="true" outlineLevel="0" collapsed="false">
      <c r="A69" s="7" t="s">
        <v>410</v>
      </c>
      <c r="B69" s="8" t="s">
        <v>411</v>
      </c>
      <c r="C69" s="8" t="s">
        <v>412</v>
      </c>
      <c r="D69" s="8" t="s">
        <v>385</v>
      </c>
      <c r="E69" s="8" t="s">
        <v>407</v>
      </c>
      <c r="F69" s="8" t="s">
        <v>176</v>
      </c>
      <c r="G69" s="8" t="s">
        <v>413</v>
      </c>
      <c r="H69" s="8" t="s">
        <v>414</v>
      </c>
    </row>
    <row r="70" customFormat="false" ht="94.5" hidden="false" customHeight="true" outlineLevel="0" collapsed="false">
      <c r="A70" s="7" t="s">
        <v>415</v>
      </c>
      <c r="B70" s="8" t="s">
        <v>416</v>
      </c>
      <c r="C70" s="8" t="s">
        <v>417</v>
      </c>
      <c r="D70" s="8" t="s">
        <v>385</v>
      </c>
      <c r="E70" s="8" t="s">
        <v>407</v>
      </c>
      <c r="F70" s="8" t="s">
        <v>176</v>
      </c>
      <c r="G70" s="8" t="s">
        <v>418</v>
      </c>
      <c r="H70" s="8" t="s">
        <v>419</v>
      </c>
    </row>
    <row r="71" customFormat="false" ht="81.75" hidden="false" customHeight="true" outlineLevel="0" collapsed="false">
      <c r="A71" s="7" t="s">
        <v>420</v>
      </c>
      <c r="B71" s="8" t="s">
        <v>421</v>
      </c>
      <c r="C71" s="8" t="s">
        <v>422</v>
      </c>
      <c r="D71" s="8" t="s">
        <v>385</v>
      </c>
      <c r="E71" s="8" t="s">
        <v>423</v>
      </c>
      <c r="F71" s="8" t="s">
        <v>176</v>
      </c>
      <c r="G71" s="8" t="s">
        <v>424</v>
      </c>
      <c r="H71" s="8" t="s">
        <v>425</v>
      </c>
    </row>
    <row r="72" customFormat="false" ht="55.5" hidden="false" customHeight="true" outlineLevel="0" collapsed="false">
      <c r="A72" s="7" t="s">
        <v>426</v>
      </c>
      <c r="B72" s="8" t="s">
        <v>427</v>
      </c>
      <c r="C72" s="8" t="s">
        <v>428</v>
      </c>
      <c r="D72" s="8" t="s">
        <v>385</v>
      </c>
      <c r="E72" s="8" t="s">
        <v>429</v>
      </c>
      <c r="F72" s="8" t="s">
        <v>176</v>
      </c>
      <c r="G72" s="8" t="s">
        <v>430</v>
      </c>
      <c r="H72" s="8" t="s">
        <v>431</v>
      </c>
    </row>
    <row r="73" customFormat="false" ht="94.5" hidden="false" customHeight="true" outlineLevel="0" collapsed="false">
      <c r="A73" s="7" t="s">
        <v>432</v>
      </c>
      <c r="B73" s="8" t="s">
        <v>433</v>
      </c>
      <c r="C73" s="8" t="s">
        <v>434</v>
      </c>
      <c r="D73" s="8" t="s">
        <v>385</v>
      </c>
      <c r="E73" s="8" t="s">
        <v>435</v>
      </c>
      <c r="F73" s="8" t="s">
        <v>176</v>
      </c>
      <c r="G73" s="8" t="s">
        <v>436</v>
      </c>
      <c r="H73" s="8" t="s">
        <v>437</v>
      </c>
    </row>
    <row r="74" customFormat="false" ht="81.75" hidden="false" customHeight="true" outlineLevel="0" collapsed="false">
      <c r="A74" s="7" t="s">
        <v>438</v>
      </c>
      <c r="B74" s="8" t="s">
        <v>439</v>
      </c>
      <c r="C74" s="8" t="s">
        <v>440</v>
      </c>
      <c r="D74" s="8" t="s">
        <v>385</v>
      </c>
      <c r="E74" s="8" t="s">
        <v>441</v>
      </c>
      <c r="F74" s="8" t="s">
        <v>176</v>
      </c>
      <c r="G74" s="8" t="s">
        <v>442</v>
      </c>
      <c r="H74" s="8" t="s">
        <v>443</v>
      </c>
    </row>
    <row r="75" customFormat="false" ht="30" hidden="false" customHeight="true" outlineLevel="0" collapsed="false">
      <c r="A75" s="7" t="s">
        <v>444</v>
      </c>
      <c r="B75" s="8" t="s">
        <v>445</v>
      </c>
      <c r="C75" s="8" t="s">
        <v>446</v>
      </c>
      <c r="D75" s="8" t="s">
        <v>447</v>
      </c>
      <c r="E75" s="8" t="s">
        <v>448</v>
      </c>
      <c r="F75" s="8" t="s">
        <v>447</v>
      </c>
      <c r="G75" s="8" t="s">
        <v>31</v>
      </c>
      <c r="H75" s="8" t="s">
        <v>449</v>
      </c>
    </row>
    <row r="76" customFormat="false" ht="30" hidden="false" customHeight="true" outlineLevel="0" collapsed="false">
      <c r="A76" s="7" t="s">
        <v>450</v>
      </c>
      <c r="B76" s="8" t="s">
        <v>451</v>
      </c>
      <c r="C76" s="8" t="s">
        <v>452</v>
      </c>
      <c r="D76" s="8" t="s">
        <v>447</v>
      </c>
      <c r="E76" s="8" t="s">
        <v>453</v>
      </c>
      <c r="F76" s="8" t="s">
        <v>447</v>
      </c>
      <c r="G76" s="8" t="s">
        <v>31</v>
      </c>
      <c r="H76" s="8" t="s">
        <v>454</v>
      </c>
    </row>
    <row r="77" customFormat="false" ht="30" hidden="false" customHeight="true" outlineLevel="0" collapsed="false">
      <c r="A77" s="7" t="s">
        <v>455</v>
      </c>
      <c r="B77" s="8" t="s">
        <v>456</v>
      </c>
      <c r="C77" s="8" t="s">
        <v>457</v>
      </c>
      <c r="D77" s="8" t="s">
        <v>447</v>
      </c>
      <c r="E77" s="8" t="s">
        <v>458</v>
      </c>
      <c r="F77" s="8" t="s">
        <v>447</v>
      </c>
      <c r="G77" s="8" t="s">
        <v>31</v>
      </c>
      <c r="H77" s="8" t="s">
        <v>454</v>
      </c>
    </row>
    <row r="78" customFormat="false" ht="30" hidden="false" customHeight="true" outlineLevel="0" collapsed="false">
      <c r="A78" s="7" t="s">
        <v>459</v>
      </c>
      <c r="B78" s="8" t="s">
        <v>460</v>
      </c>
      <c r="C78" s="8" t="s">
        <v>461</v>
      </c>
      <c r="D78" s="8" t="s">
        <v>447</v>
      </c>
      <c r="E78" s="8" t="s">
        <v>462</v>
      </c>
      <c r="F78" s="8" t="s">
        <v>447</v>
      </c>
      <c r="G78" s="8" t="s">
        <v>31</v>
      </c>
      <c r="H78" s="8" t="s">
        <v>449</v>
      </c>
    </row>
    <row r="79" customFormat="false" ht="55.5" hidden="false" customHeight="true" outlineLevel="0" collapsed="false">
      <c r="A79" s="7" t="s">
        <v>463</v>
      </c>
      <c r="B79" s="8" t="s">
        <v>464</v>
      </c>
      <c r="C79" s="8" t="s">
        <v>465</v>
      </c>
      <c r="D79" s="8" t="s">
        <v>447</v>
      </c>
      <c r="E79" s="8" t="s">
        <v>466</v>
      </c>
      <c r="F79" s="8" t="s">
        <v>447</v>
      </c>
      <c r="G79" s="8" t="s">
        <v>31</v>
      </c>
      <c r="H79" s="8" t="s">
        <v>467</v>
      </c>
    </row>
    <row r="80" customFormat="false" ht="30" hidden="false" customHeight="true" outlineLevel="0" collapsed="false">
      <c r="A80" s="7" t="s">
        <v>468</v>
      </c>
      <c r="B80" s="8" t="s">
        <v>469</v>
      </c>
      <c r="C80" s="8" t="s">
        <v>470</v>
      </c>
      <c r="D80" s="8" t="s">
        <v>447</v>
      </c>
      <c r="E80" s="8" t="s">
        <v>471</v>
      </c>
      <c r="F80" s="8" t="s">
        <v>447</v>
      </c>
      <c r="G80" s="8" t="s">
        <v>31</v>
      </c>
      <c r="H80" s="8" t="s">
        <v>449</v>
      </c>
    </row>
    <row r="81" customFormat="false" ht="42.75" hidden="false" customHeight="true" outlineLevel="0" collapsed="false">
      <c r="A81" s="7" t="s">
        <v>472</v>
      </c>
      <c r="B81" s="8" t="s">
        <v>473</v>
      </c>
      <c r="C81" s="8" t="s">
        <v>474</v>
      </c>
      <c r="D81" s="8" t="s">
        <v>447</v>
      </c>
      <c r="E81" s="8" t="s">
        <v>475</v>
      </c>
      <c r="F81" s="8" t="s">
        <v>447</v>
      </c>
      <c r="G81" s="8" t="s">
        <v>31</v>
      </c>
      <c r="H81" s="8" t="s">
        <v>476</v>
      </c>
    </row>
    <row r="82" customFormat="false" ht="30" hidden="false" customHeight="true" outlineLevel="0" collapsed="false">
      <c r="A82" s="7" t="s">
        <v>477</v>
      </c>
      <c r="B82" s="8" t="s">
        <v>478</v>
      </c>
      <c r="C82" s="8" t="s">
        <v>479</v>
      </c>
      <c r="D82" s="8" t="s">
        <v>447</v>
      </c>
      <c r="E82" s="8" t="s">
        <v>480</v>
      </c>
      <c r="F82" s="8" t="s">
        <v>447</v>
      </c>
      <c r="G82" s="8" t="s">
        <v>31</v>
      </c>
      <c r="H82" s="8" t="s">
        <v>481</v>
      </c>
    </row>
    <row r="83" customFormat="false" ht="55.5" hidden="false" customHeight="true" outlineLevel="0" collapsed="false">
      <c r="A83" s="7" t="s">
        <v>482</v>
      </c>
      <c r="B83" s="8" t="s">
        <v>483</v>
      </c>
      <c r="C83" s="8" t="s">
        <v>484</v>
      </c>
      <c r="D83" s="8" t="s">
        <v>447</v>
      </c>
      <c r="E83" s="8" t="s">
        <v>485</v>
      </c>
      <c r="F83" s="8" t="s">
        <v>447</v>
      </c>
      <c r="G83" s="8" t="s">
        <v>31</v>
      </c>
      <c r="H83" s="8" t="s">
        <v>486</v>
      </c>
    </row>
    <row r="84" customFormat="false" ht="42.75" hidden="false" customHeight="true" outlineLevel="0" collapsed="false">
      <c r="A84" s="7" t="s">
        <v>487</v>
      </c>
      <c r="B84" s="8" t="s">
        <v>488</v>
      </c>
      <c r="C84" s="8" t="s">
        <v>489</v>
      </c>
      <c r="D84" s="8" t="s">
        <v>447</v>
      </c>
      <c r="E84" s="8" t="s">
        <v>490</v>
      </c>
      <c r="F84" s="8" t="s">
        <v>447</v>
      </c>
      <c r="G84" s="8" t="s">
        <v>31</v>
      </c>
      <c r="H84" s="8" t="s">
        <v>491</v>
      </c>
    </row>
    <row r="85" customFormat="false" ht="30" hidden="false" customHeight="true" outlineLevel="0" collapsed="false">
      <c r="A85" s="7" t="s">
        <v>492</v>
      </c>
      <c r="B85" s="8" t="s">
        <v>493</v>
      </c>
      <c r="C85" s="8" t="s">
        <v>494</v>
      </c>
      <c r="D85" s="8" t="s">
        <v>447</v>
      </c>
      <c r="E85" s="8" t="s">
        <v>495</v>
      </c>
      <c r="F85" s="8" t="s">
        <v>447</v>
      </c>
      <c r="G85" s="8" t="s">
        <v>31</v>
      </c>
      <c r="H85" s="8" t="s">
        <v>454</v>
      </c>
    </row>
    <row r="86" customFormat="false" ht="30" hidden="false" customHeight="true" outlineLevel="0" collapsed="false">
      <c r="A86" s="7" t="s">
        <v>496</v>
      </c>
      <c r="B86" s="8" t="s">
        <v>497</v>
      </c>
      <c r="C86" s="8" t="s">
        <v>498</v>
      </c>
      <c r="D86" s="8" t="s">
        <v>447</v>
      </c>
      <c r="E86" s="8" t="s">
        <v>499</v>
      </c>
      <c r="F86" s="8" t="s">
        <v>447</v>
      </c>
      <c r="G86" s="8" t="s">
        <v>31</v>
      </c>
      <c r="H86" s="8" t="s">
        <v>500</v>
      </c>
    </row>
    <row r="87" customFormat="false" ht="108" hidden="false" customHeight="true" outlineLevel="0" collapsed="false">
      <c r="A87" s="7" t="s">
        <v>501</v>
      </c>
      <c r="B87" s="8" t="s">
        <v>502</v>
      </c>
      <c r="C87" s="8" t="s">
        <v>503</v>
      </c>
      <c r="D87" s="8" t="s">
        <v>504</v>
      </c>
      <c r="E87" s="8" t="s">
        <v>505</v>
      </c>
      <c r="F87" s="8" t="s">
        <v>176</v>
      </c>
      <c r="G87" s="8" t="s">
        <v>506</v>
      </c>
      <c r="H87" s="8" t="s">
        <v>507</v>
      </c>
    </row>
  </sheetData>
  <autoFilter ref="A1:H87"/>
  <conditionalFormatting sqref="F2:F100">
    <cfRule type="expression" priority="2" aboveAverage="0" equalAverage="0" bottom="0" percent="0" rank="0" text="" dxfId="9">
      <formula>$F2="Fait établi"</formula>
    </cfRule>
    <cfRule type="expression" priority="3" aboveAverage="0" equalAverage="0" bottom="0" percent="0" rank="0" text="" dxfId="10">
      <formula>$F2="Déclaration"</formula>
    </cfRule>
    <cfRule type="expression" priority="4" aboveAverage="0" equalAverage="0" bottom="0" percent="0" rank="0" text="" dxfId="11">
      <formula>$F2="Hypothèse"</formula>
    </cfRule>
    <cfRule type="expression" priority="5" aboveAverage="0" equalAverage="0" bottom="0" percent="0" rank="0" text="" dxfId="12">
      <formula>$F2="Information manquante"</formula>
    </cfRule>
  </conditionalFormatting>
  <dataValidations count="2">
    <dataValidation allowBlank="true" errorStyle="stop" operator="between" showDropDown="false" showErrorMessage="false" showInputMessage="false" sqref="F2:F79" type="list">
      <formula1>Listes!$B$2:$B$5</formula1>
      <formula2>0</formula2>
    </dataValidation>
    <dataValidation allowBlank="true" errorStyle="stop" operator="between" showDropDown="false" showErrorMessage="false" showInputMessage="false" sqref="D2:D79" type="list">
      <formula1>Listes!$A$2:$A$6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4" activeCellId="0" sqref="B4"/>
    </sheetView>
  </sheetViews>
  <sheetFormatPr defaultColWidth="8.71484375" defaultRowHeight="15" zeroHeight="false" outlineLevelRow="0" outlineLevelCol="0"/>
  <cols>
    <col collapsed="false" customWidth="true" hidden="false" outlineLevel="0" max="1" min="1" style="1" width="8"/>
    <col collapsed="false" customWidth="true" hidden="false" outlineLevel="0" max="2" min="2" style="1" width="95"/>
    <col collapsed="false" customWidth="true" hidden="false" outlineLevel="0" max="3" min="3" style="1" width="40"/>
  </cols>
  <sheetData>
    <row r="1" customFormat="false" ht="31.5" hidden="false" customHeight="true" outlineLevel="0" collapsed="false">
      <c r="A1" s="6" t="s">
        <v>17</v>
      </c>
      <c r="B1" s="6" t="s">
        <v>508</v>
      </c>
      <c r="C1" s="6" t="s">
        <v>24</v>
      </c>
    </row>
    <row r="2" customFormat="false" ht="15" hidden="false" customHeight="true" outlineLevel="0" collapsed="false">
      <c r="A2" s="7" t="s">
        <v>509</v>
      </c>
      <c r="B2" s="8" t="s">
        <v>510</v>
      </c>
      <c r="C2" s="8" t="s">
        <v>511</v>
      </c>
    </row>
    <row r="3" customFormat="false" ht="15" hidden="false" customHeight="true" outlineLevel="0" collapsed="false">
      <c r="A3" s="7" t="s">
        <v>512</v>
      </c>
      <c r="B3" s="8" t="s">
        <v>513</v>
      </c>
      <c r="C3" s="8" t="s">
        <v>514</v>
      </c>
    </row>
    <row r="4" customFormat="false" ht="38.25" hidden="false" customHeight="true" outlineLevel="0" collapsed="false">
      <c r="A4" s="7" t="s">
        <v>515</v>
      </c>
      <c r="B4" s="8" t="s">
        <v>516</v>
      </c>
      <c r="C4" s="8" t="s">
        <v>517</v>
      </c>
    </row>
    <row r="5" customFormat="false" ht="15" hidden="false" customHeight="true" outlineLevel="0" collapsed="false">
      <c r="A5" s="7" t="s">
        <v>518</v>
      </c>
      <c r="B5" s="8" t="s">
        <v>519</v>
      </c>
      <c r="C5" s="8" t="s">
        <v>520</v>
      </c>
    </row>
    <row r="6" customFormat="false" ht="25.5" hidden="false" customHeight="true" outlineLevel="0" collapsed="false">
      <c r="A6" s="7" t="s">
        <v>521</v>
      </c>
      <c r="B6" s="8" t="s">
        <v>522</v>
      </c>
      <c r="C6" s="8" t="s">
        <v>523</v>
      </c>
    </row>
    <row r="7" customFormat="false" ht="15" hidden="false" customHeight="true" outlineLevel="0" collapsed="false">
      <c r="A7" s="7" t="s">
        <v>524</v>
      </c>
      <c r="B7" s="8" t="s">
        <v>525</v>
      </c>
      <c r="C7" s="8" t="s">
        <v>526</v>
      </c>
    </row>
    <row r="8" customFormat="false" ht="38.25" hidden="false" customHeight="true" outlineLevel="0" collapsed="false">
      <c r="A8" s="7" t="s">
        <v>527</v>
      </c>
      <c r="B8" s="8" t="s">
        <v>528</v>
      </c>
      <c r="C8" s="8" t="s">
        <v>529</v>
      </c>
    </row>
    <row r="9" customFormat="false" ht="38.25" hidden="false" customHeight="true" outlineLevel="0" collapsed="false">
      <c r="A9" s="7" t="s">
        <v>530</v>
      </c>
      <c r="B9" s="8" t="s">
        <v>531</v>
      </c>
      <c r="C9" s="8" t="s">
        <v>532</v>
      </c>
    </row>
    <row r="10" customFormat="false" ht="15" hidden="false" customHeight="true" outlineLevel="0" collapsed="false">
      <c r="A10" s="7" t="s">
        <v>533</v>
      </c>
      <c r="B10" s="8" t="s">
        <v>534</v>
      </c>
      <c r="C10" s="8" t="s">
        <v>535</v>
      </c>
    </row>
    <row r="11" customFormat="false" ht="25.5" hidden="false" customHeight="true" outlineLevel="0" collapsed="false">
      <c r="A11" s="7" t="s">
        <v>536</v>
      </c>
      <c r="B11" s="8" t="s">
        <v>537</v>
      </c>
      <c r="C11" s="8" t="s">
        <v>538</v>
      </c>
    </row>
    <row r="12" customFormat="false" ht="25.5" hidden="false" customHeight="true" outlineLevel="0" collapsed="false">
      <c r="A12" s="7" t="s">
        <v>539</v>
      </c>
      <c r="B12" s="8" t="s">
        <v>540</v>
      </c>
      <c r="C12" s="8" t="s">
        <v>541</v>
      </c>
    </row>
    <row r="13" customFormat="false" ht="25.5" hidden="false" customHeight="true" outlineLevel="0" collapsed="false">
      <c r="A13" s="7" t="s">
        <v>542</v>
      </c>
      <c r="B13" s="8" t="s">
        <v>543</v>
      </c>
      <c r="C13" s="8" t="s">
        <v>544</v>
      </c>
    </row>
    <row r="14" customFormat="false" ht="55.5" hidden="false" customHeight="true" outlineLevel="0" collapsed="false">
      <c r="A14" s="7" t="s">
        <v>545</v>
      </c>
      <c r="B14" s="8" t="s">
        <v>546</v>
      </c>
      <c r="C14" s="8" t="s">
        <v>547</v>
      </c>
    </row>
    <row r="15" customFormat="false" ht="25.5" hidden="false" customHeight="true" outlineLevel="0" collapsed="false">
      <c r="A15" s="7" t="s">
        <v>548</v>
      </c>
      <c r="B15" s="8" t="s">
        <v>549</v>
      </c>
      <c r="C15" s="8" t="s">
        <v>550</v>
      </c>
    </row>
    <row r="16" customFormat="false" ht="25.5" hidden="false" customHeight="true" outlineLevel="0" collapsed="false">
      <c r="A16" s="7" t="s">
        <v>551</v>
      </c>
      <c r="B16" s="8" t="s">
        <v>552</v>
      </c>
      <c r="C16" s="8" t="s">
        <v>553</v>
      </c>
    </row>
    <row r="17" customFormat="false" ht="25.5" hidden="false" customHeight="true" outlineLevel="0" collapsed="false">
      <c r="A17" s="7" t="s">
        <v>554</v>
      </c>
      <c r="B17" s="8" t="s">
        <v>555</v>
      </c>
      <c r="C17" s="8" t="s">
        <v>556</v>
      </c>
    </row>
    <row r="18" customFormat="false" ht="15" hidden="false" customHeight="true" outlineLevel="0" collapsed="false">
      <c r="A18" s="7" t="s">
        <v>557</v>
      </c>
      <c r="B18" s="8" t="s">
        <v>558</v>
      </c>
      <c r="C18" s="8" t="s">
        <v>559</v>
      </c>
    </row>
    <row r="19" customFormat="false" ht="15" hidden="false" customHeight="true" outlineLevel="0" collapsed="false">
      <c r="A19" s="7" t="s">
        <v>560</v>
      </c>
      <c r="B19" s="8" t="s">
        <v>561</v>
      </c>
      <c r="C19" s="8" t="s">
        <v>562</v>
      </c>
    </row>
    <row r="20" customFormat="false" ht="25.5" hidden="false" customHeight="true" outlineLevel="0" collapsed="false">
      <c r="A20" s="7" t="s">
        <v>563</v>
      </c>
      <c r="B20" s="8" t="s">
        <v>564</v>
      </c>
      <c r="C20" s="8" t="s">
        <v>565</v>
      </c>
    </row>
    <row r="21" customFormat="false" ht="25.5" hidden="false" customHeight="true" outlineLevel="0" collapsed="false">
      <c r="A21" s="7" t="s">
        <v>566</v>
      </c>
      <c r="B21" s="8" t="s">
        <v>567</v>
      </c>
      <c r="C21" s="8" t="s">
        <v>568</v>
      </c>
    </row>
    <row r="22" customFormat="false" ht="81.75" hidden="false" customHeight="true" outlineLevel="0" collapsed="false">
      <c r="A22" s="7" t="s">
        <v>569</v>
      </c>
      <c r="B22" s="8" t="s">
        <v>570</v>
      </c>
      <c r="C22" s="8" t="s">
        <v>571</v>
      </c>
    </row>
    <row r="23" customFormat="false" ht="55.5" hidden="false" customHeight="true" outlineLevel="0" collapsed="false">
      <c r="A23" s="7" t="s">
        <v>572</v>
      </c>
      <c r="B23" s="8" t="s">
        <v>573</v>
      </c>
      <c r="C23" s="8" t="s">
        <v>574</v>
      </c>
    </row>
    <row r="24" customFormat="false" ht="69" hidden="false" customHeight="true" outlineLevel="0" collapsed="false">
      <c r="A24" s="7" t="s">
        <v>575</v>
      </c>
      <c r="B24" s="8" t="s">
        <v>576</v>
      </c>
      <c r="C24" s="8" t="s">
        <v>577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4" colorId="64" zoomScale="100" zoomScaleNormal="100" zoomScalePageLayoutView="100" workbookViewId="0">
      <selection pane="topLeft" activeCell="D6" activeCellId="0" sqref="D6"/>
    </sheetView>
  </sheetViews>
  <sheetFormatPr defaultColWidth="8.71484375" defaultRowHeight="15" zeroHeight="false" outlineLevelRow="0" outlineLevelCol="0"/>
  <cols>
    <col collapsed="false" customWidth="true" hidden="false" outlineLevel="0" max="1" min="1" style="1" width="26"/>
    <col collapsed="false" customWidth="true" hidden="false" outlineLevel="0" max="7" min="2" style="1" width="15"/>
  </cols>
  <sheetData>
    <row r="1" customFormat="false" ht="18" hidden="false" customHeight="true" outlineLevel="0" collapsed="false">
      <c r="A1" s="9" t="s">
        <v>578</v>
      </c>
    </row>
    <row r="2" customFormat="false" ht="15" hidden="false" customHeight="true" outlineLevel="0" collapsed="false">
      <c r="A2" s="10" t="s">
        <v>579</v>
      </c>
    </row>
    <row r="4" customFormat="false" ht="26.25" hidden="false" customHeight="true" outlineLevel="0" collapsed="false">
      <c r="A4" s="11" t="s">
        <v>20</v>
      </c>
      <c r="B4" s="11" t="s">
        <v>30</v>
      </c>
      <c r="C4" s="11" t="s">
        <v>580</v>
      </c>
      <c r="D4" s="11" t="s">
        <v>176</v>
      </c>
      <c r="E4" s="11" t="s">
        <v>447</v>
      </c>
      <c r="F4" s="11" t="s">
        <v>581</v>
      </c>
    </row>
    <row r="5" customFormat="false" ht="15" hidden="false" customHeight="true" outlineLevel="0" collapsed="false">
      <c r="A5" s="12" t="s">
        <v>28</v>
      </c>
      <c r="B5" s="13" t="n">
        <f aca="false">COUNTIFS(Journal!$D$2:$D$100,$A5,Journal!$F$2:$F$100,B$4)</f>
        <v>26</v>
      </c>
      <c r="C5" s="13" t="n">
        <f aca="false">COUNTIFS(Journal!$D$2:$D$100,$A5,Journal!$F$2:$F$100,C$4)</f>
        <v>0</v>
      </c>
      <c r="D5" s="13" t="n">
        <f aca="false">COUNTIFS(Journal!$D$2:$D$100,$A5,Journal!$F$2:$F$100,D$4)</f>
        <v>0</v>
      </c>
      <c r="E5" s="13" t="n">
        <f aca="false">COUNTIFS(Journal!$D$2:$D$100,$A5,Journal!$F$2:$F$100,E$4)</f>
        <v>0</v>
      </c>
      <c r="F5" s="14" t="n">
        <f aca="false">SUM(B5:E5)</f>
        <v>26</v>
      </c>
    </row>
    <row r="6" customFormat="false" ht="15" hidden="false" customHeight="true" outlineLevel="0" collapsed="false">
      <c r="A6" s="12" t="s">
        <v>176</v>
      </c>
      <c r="B6" s="13" t="n">
        <f aca="false">COUNTIFS(Journal!$D$2:$D$100,$A6,Journal!$F$2:$F$100,B$4)</f>
        <v>0</v>
      </c>
      <c r="C6" s="13" t="n">
        <f aca="false">COUNTIFS(Journal!$D$2:$D$100,$A6,Journal!$F$2:$F$100,C$4)</f>
        <v>0</v>
      </c>
      <c r="D6" s="13" t="n">
        <f aca="false">COUNTIFS(Journal!$D$2:$D$100,$A6,Journal!$F$2:$F$100,D$4)</f>
        <v>36</v>
      </c>
      <c r="E6" s="13" t="n">
        <f aca="false">COUNTIFS(Journal!$D$2:$D$100,$A6,Journal!$F$2:$F$100,E$4)</f>
        <v>0</v>
      </c>
      <c r="F6" s="14" t="n">
        <f aca="false">SUM(B6:E6)</f>
        <v>36</v>
      </c>
    </row>
    <row r="7" customFormat="false" ht="15" hidden="false" customHeight="true" outlineLevel="0" collapsed="false">
      <c r="A7" s="12" t="s">
        <v>385</v>
      </c>
      <c r="B7" s="13" t="n">
        <f aca="false">COUNTIFS(Journal!$D$2:$D$100,$A7,Journal!$F$2:$F$100,B$4)</f>
        <v>3</v>
      </c>
      <c r="C7" s="13" t="n">
        <f aca="false">COUNTIFS(Journal!$D$2:$D$100,$A7,Journal!$F$2:$F$100,C$4)</f>
        <v>0</v>
      </c>
      <c r="D7" s="13" t="n">
        <f aca="false">COUNTIFS(Journal!$D$2:$D$100,$A7,Journal!$F$2:$F$100,D$4)</f>
        <v>8</v>
      </c>
      <c r="E7" s="13" t="n">
        <f aca="false">COUNTIFS(Journal!$D$2:$D$100,$A7,Journal!$F$2:$F$100,E$4)</f>
        <v>0</v>
      </c>
      <c r="F7" s="14" t="n">
        <f aca="false">SUM(B7:E7)</f>
        <v>11</v>
      </c>
    </row>
    <row r="8" customFormat="false" ht="15" hidden="false" customHeight="true" outlineLevel="0" collapsed="false">
      <c r="A8" s="12" t="s">
        <v>447</v>
      </c>
      <c r="B8" s="13" t="n">
        <f aca="false">COUNTIFS(Journal!$D$2:$D$100,$A8,Journal!$F$2:$F$100,B$4)</f>
        <v>0</v>
      </c>
      <c r="C8" s="13" t="n">
        <f aca="false">COUNTIFS(Journal!$D$2:$D$100,$A8,Journal!$F$2:$F$100,C$4)</f>
        <v>0</v>
      </c>
      <c r="D8" s="13" t="n">
        <f aca="false">COUNTIFS(Journal!$D$2:$D$100,$A8,Journal!$F$2:$F$100,D$4)</f>
        <v>0</v>
      </c>
      <c r="E8" s="13" t="n">
        <f aca="false">COUNTIFS(Journal!$D$2:$D$100,$A8,Journal!$F$2:$F$100,E$4)</f>
        <v>12</v>
      </c>
      <c r="F8" s="14" t="n">
        <f aca="false">SUM(B8:E8)</f>
        <v>12</v>
      </c>
    </row>
    <row r="9" customFormat="false" ht="15" hidden="false" customHeight="true" outlineLevel="0" collapsed="false">
      <c r="A9" s="12" t="s">
        <v>504</v>
      </c>
      <c r="B9" s="13" t="n">
        <f aca="false">COUNTIFS(Journal!$D$2:$D$100,$A9,Journal!$F$2:$F$100,B$4)</f>
        <v>0</v>
      </c>
      <c r="C9" s="13" t="n">
        <f aca="false">COUNTIFS(Journal!$D$2:$D$100,$A9,Journal!$F$2:$F$100,C$4)</f>
        <v>0</v>
      </c>
      <c r="D9" s="13" t="n">
        <f aca="false">COUNTIFS(Journal!$D$2:$D$100,$A9,Journal!$F$2:$F$100,D$4)</f>
        <v>1</v>
      </c>
      <c r="E9" s="13" t="n">
        <f aca="false">COUNTIFS(Journal!$D$2:$D$100,$A9,Journal!$F$2:$F$100,E$4)</f>
        <v>0</v>
      </c>
      <c r="F9" s="14" t="n">
        <f aca="false">SUM(B9:E9)</f>
        <v>1</v>
      </c>
    </row>
    <row r="10" customFormat="false" ht="15" hidden="false" customHeight="true" outlineLevel="0" collapsed="false">
      <c r="A10" s="15" t="s">
        <v>581</v>
      </c>
      <c r="B10" s="14" t="n">
        <f aca="false">SUM(B5:B9)</f>
        <v>29</v>
      </c>
      <c r="C10" s="14" t="n">
        <f aca="false">SUM(C5:C9)</f>
        <v>0</v>
      </c>
      <c r="D10" s="14" t="n">
        <f aca="false">SUM(D5:D9)</f>
        <v>45</v>
      </c>
      <c r="E10" s="14" t="n">
        <f aca="false">SUM(E5:E9)</f>
        <v>12</v>
      </c>
      <c r="F10" s="14" t="n">
        <f aca="false">SUM(F5:F9)</f>
        <v>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sheetData>
    <row r="1" customFormat="false" ht="15" hidden="false" customHeight="true" outlineLevel="0" collapsed="false">
      <c r="A1" s="1" t="s">
        <v>20</v>
      </c>
      <c r="B1" s="1" t="s">
        <v>22</v>
      </c>
      <c r="C1" s="1" t="s">
        <v>582</v>
      </c>
    </row>
    <row r="2" customFormat="false" ht="15" hidden="false" customHeight="true" outlineLevel="0" collapsed="false">
      <c r="A2" s="1" t="s">
        <v>28</v>
      </c>
      <c r="B2" s="1" t="s">
        <v>30</v>
      </c>
      <c r="C2" s="1" t="s">
        <v>583</v>
      </c>
    </row>
    <row r="3" customFormat="false" ht="15" hidden="false" customHeight="true" outlineLevel="0" collapsed="false">
      <c r="A3" s="1" t="s">
        <v>176</v>
      </c>
      <c r="B3" s="1" t="s">
        <v>580</v>
      </c>
      <c r="C3" s="1" t="s">
        <v>584</v>
      </c>
    </row>
    <row r="4" customFormat="false" ht="15" hidden="false" customHeight="true" outlineLevel="0" collapsed="false">
      <c r="A4" s="1" t="s">
        <v>385</v>
      </c>
      <c r="B4" s="1" t="s">
        <v>176</v>
      </c>
      <c r="C4" s="1" t="s">
        <v>585</v>
      </c>
    </row>
    <row r="5" customFormat="false" ht="15" hidden="false" customHeight="true" outlineLevel="0" collapsed="false">
      <c r="A5" s="1" t="s">
        <v>447</v>
      </c>
      <c r="B5" s="1" t="s">
        <v>447</v>
      </c>
      <c r="C5" s="1" t="s">
        <v>586</v>
      </c>
    </row>
    <row r="6" customFormat="false" ht="15" hidden="false" customHeight="true" outlineLevel="0" collapsed="false">
      <c r="A6" s="1" t="s">
        <v>504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2026-10-08T14:23:36Z</dcterms:created>
  <dc:creator>openpyxl</dc:creator>
  <dc:description/>
  <dc:language>en-US</dc:language>
  <cp:lastModifiedBy/>
  <dcterms:modified xsi:type="dcterms:W3CDTF">2026-10-23T16:35:07Z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