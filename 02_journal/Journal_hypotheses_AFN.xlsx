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onda\Documents\1 - Portfolio\BACKUP\1 - Python script backup file tree\2 - Learning\4 - Cours\7 - Cours Cyber\TP1_MEHARI_AFN\02_journal\"/>
    </mc:Choice>
  </mc:AlternateContent>
  <xr:revisionPtr revIDLastSave="0" documentId="13_ncr:1_{FF76B1EC-3687-4DD1-BA2E-9F0E3B62F68D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Lisez-moi" sheetId="1" r:id="rId1"/>
    <sheet name="Journal" sheetId="2" r:id="rId2"/>
    <sheet name="Règles de méthode" sheetId="3" r:id="rId3"/>
    <sheet name="Synthèse" sheetId="5" r:id="rId4"/>
    <sheet name="Listes" sheetId="6" state="hidden" r:id="rId5"/>
  </sheets>
  <definedNames>
    <definedName name="_xlnm._FilterDatabase" localSheetId="1" hidden="1">Journal!$A$1:$G$58</definedName>
  </definedNames>
  <calcPr calcId="191029" iterateDelta="1E-4"/>
</workbook>
</file>

<file path=xl/calcChain.xml><?xml version="1.0" encoding="utf-8"?>
<calcChain xmlns="http://schemas.openxmlformats.org/spreadsheetml/2006/main">
  <c r="E6" i="5" l="1"/>
  <c r="E7" i="5"/>
  <c r="E8" i="5"/>
  <c r="E9" i="5"/>
  <c r="E5" i="5"/>
  <c r="D9" i="5"/>
  <c r="D6" i="5"/>
  <c r="D7" i="5"/>
  <c r="D8" i="5"/>
  <c r="D5" i="5"/>
  <c r="C6" i="5"/>
  <c r="C7" i="5"/>
  <c r="C8" i="5"/>
  <c r="C9" i="5"/>
  <c r="C5" i="5"/>
  <c r="B6" i="5"/>
  <c r="B7" i="5"/>
  <c r="B8" i="5"/>
  <c r="B9" i="5"/>
  <c r="B5" i="5"/>
  <c r="G9" i="5" l="1"/>
  <c r="G8" i="5"/>
  <c r="G7" i="5"/>
  <c r="G6" i="5"/>
  <c r="G5" i="5"/>
  <c r="F9" i="5" l="1"/>
  <c r="F7" i="5"/>
  <c r="C10" i="5"/>
  <c r="F6" i="5"/>
  <c r="F8" i="5"/>
  <c r="F5" i="5"/>
  <c r="F10" i="5" s="1"/>
  <c r="D10" i="5"/>
  <c r="E10" i="5"/>
  <c r="G10" i="5"/>
  <c r="B10" i="5"/>
</calcChain>
</file>

<file path=xl/sharedStrings.xml><?xml version="1.0" encoding="utf-8"?>
<sst xmlns="http://schemas.openxmlformats.org/spreadsheetml/2006/main" count="386" uniqueCount="257">
  <si>
    <t>Contenu</t>
  </si>
  <si>
    <t>Journal : le journal lui-même. Les colonnes A à D suivent le modèle imposé par l'énoncé (§7, p.5) : Réf., Hypothèse / observation, Impact sur l'analyse, Validation requise.</t>
  </si>
  <si>
    <t>Règles de méthode : ce que l'énoncé, l'introduction aux TP et le guide MEHARI demandent de tracer, avec la page.</t>
  </si>
  <si>
    <t>Entrées attendues : la liste de ce que le journal devra contenir à la fin du TP, à cocher.</t>
  </si>
  <si>
    <t>Ce qui est dans le journal</t>
  </si>
  <si>
    <t>Colonne « Correspondance classeur »</t>
  </si>
  <si>
    <t>Les codes de services et de scénarios cités viennent du classeur et sont rapprochés uniquement par leur intitulé (ex. 1B02 « Télétravail »). Le rattachement définitif reste à décider par l'équipe.</t>
  </si>
  <si>
    <t>Sources</t>
  </si>
  <si>
    <t>Réf.</t>
  </si>
  <si>
    <t>Hypothèse / observation</t>
  </si>
  <si>
    <t>Impact sur l'analyse</t>
  </si>
  <si>
    <t>Validation requise</t>
  </si>
  <si>
    <t>Statut</t>
  </si>
  <si>
    <t>Type</t>
  </si>
  <si>
    <t>Source exacte</t>
  </si>
  <si>
    <t>Correspondance classeur</t>
  </si>
  <si>
    <t>État</t>
  </si>
  <si>
    <t>O-01</t>
  </si>
  <si>
    <t>AFN est une PME fictive qui conçoit et dispense des formations professionnelles hybrides ; elle emploie 45 personnes et accueille environ 1 200 apprenants par an.</t>
  </si>
  <si>
    <t>Contexte à présenter dans le dossier (partie 2).</t>
  </si>
  <si>
    <t>Aucune (donnée de l'énoncé).</t>
  </si>
  <si>
    <t>Fait établi</t>
  </si>
  <si>
    <t>Observation</t>
  </si>
  <si>
    <t>Énoncé TP, §3, p.1</t>
  </si>
  <si>
    <t>—</t>
  </si>
  <si>
    <t>Clos</t>
  </si>
  <si>
    <t>O-02</t>
  </si>
  <si>
    <t>Services numériques exploités : site vitrine, plateforme LMS, messagerie collaborative, CRM, stockage cloud, solution de facturation, postes de travail administratifs.</t>
  </si>
  <si>
    <t>Candidats aux actifs à sélectionner dans Classif (étape 10 : « types d'actifs réellement pertinents »).</t>
  </si>
  <si>
    <t>Classif</t>
  </si>
  <si>
    <t>O-03</t>
  </si>
  <si>
    <t>Données traitées : identités et coordonnées des apprenants, dossiers de financement, feuilles d'émargement, résultats d'évaluation, contrats, factures, données RH.</t>
  </si>
  <si>
    <t>À classer dans T1 (données) ; chaque niveau élevé doit être justifié (étape 12).</t>
  </si>
  <si>
    <t>Énoncé TP, §3 « Contexte et contraintes », p.2</t>
  </si>
  <si>
    <t>T1</t>
  </si>
  <si>
    <t>O-04</t>
  </si>
  <si>
    <t>La plateforme LMS, les visioconférences et la messagerie sont indispensables pendant les périodes de formation.</t>
  </si>
  <si>
    <t>Élément utilisable pour justifier une disponibilité élevée ; l'exemple de l'énoncé cote la LMS « D élevée » (p.3).</t>
  </si>
  <si>
    <t>Durée d'interruption tolérable non précisée : voir M-07.</t>
  </si>
  <si>
    <t>Énoncé TP, §3, p.2</t>
  </si>
  <si>
    <t>T1 / T2</t>
  </si>
  <si>
    <t>O-05</t>
  </si>
  <si>
    <t>Une partie des services est hébergée chez des prestataires cloud ; l'entreprise dispose aussi d'un NAS local et de quelques serveurs virtuels.</t>
  </si>
  <si>
    <t>Concerne les actifs « Services externalisés ou hébergés sur le cloud » et « Données externalisées sur le cloud » de Classif.</t>
  </si>
  <si>
    <t>Services concernés non précisés : voir M-01.</t>
  </si>
  <si>
    <t>Classif S02, D07 ; services 1B07, 3A09, 4A03, 4A04, 5D02 (par intitulé)</t>
  </si>
  <si>
    <t>O-06</t>
  </si>
  <si>
    <t>Le télétravail est autorisé.</t>
  </si>
  <si>
    <t>Lié au périmètre « accès distant » (p.2).</t>
  </si>
  <si>
    <t>Mode d'accès distant non décrit : voir M-02.</t>
  </si>
  <si>
    <t>Services 1B02 « Télétravail », 6A02 « Travail en dehors des locaux » (par intitulé)</t>
  </si>
  <si>
    <t>O-07</t>
  </si>
  <si>
    <t>Les comptes administrateurs et les comptes de formateurs disposent de droits variables selon les applications.</t>
  </si>
  <si>
    <t>Lié au périmètre « comptes à privilèges » (p.2).</t>
  </si>
  <si>
    <t>Règles d'attribution non décrites : voir M-04.</t>
  </si>
  <si>
    <t>Services 3A02, 3A06, 3A07, 3A08 (par intitulé)</t>
  </si>
  <si>
    <t>O-08</t>
  </si>
  <si>
    <t>La direction souhaite renforcer la résilience après plusieurs incidents mineurs : hameçonnage, indisponibilité d'un outil SaaS, erreurs de partage de fichiers, absence ponctuelle de sauvegardes vérifiées.</t>
  </si>
  <si>
    <t>L'énoncé (§7, p.5) en tire trois risques exemples : R-01 compromission d'un compte via hameçonnage (LMS, comptes formateurs) ; R-02 divulgation par partage cloud mal configuré (dossiers apprenants) ; R-03 indisponibilité d'un service SaaS critique (continuité des formations).</t>
  </si>
  <si>
    <t>Date, fréquence et conséquences non précisées : voir M-06.</t>
  </si>
  <si>
    <t>Énoncé TP, §3 p.2 ; §7 « Registre des risques prioritaires » p.5</t>
  </si>
  <si>
    <t>Scénarios dont l'intitulé correspond : DBUC03 (hameçonnage), DBUC02 (diffusion accidentelle d'un fichier), SEXD02 (arrêt de l'infrastructure des services externalisés) ; service 1C06</t>
  </si>
  <si>
    <t>O-09</t>
  </si>
  <si>
    <t>Les moyens financiers sont limités : les recommandations doivent être priorisées et proportionnées.</t>
  </si>
  <si>
    <t>Le coût des actions s'exprime en faible / moyen / élevé (étape 25, p.4).</t>
  </si>
  <si>
    <t>Montant non précisé : voir M-08.</t>
  </si>
  <si>
    <t>Plans_action, Projets</t>
  </si>
  <si>
    <t>O-10</t>
  </si>
  <si>
    <t>Périmètre minimal obligatoire : inscription et gestion administrative des apprenants ; délivrance des formations à distance ou hybrides ; données personnelles, contractuelles et financières ; messagerie, stockage collaboratif, LMS et accès distant ; postes de travail, comptes à privilèges, sauvegardes et équipements réseau essentiels.</t>
  </si>
  <si>
    <t>Tout scénario hors de ce périmètre doit être exclu explicitement (étape 19, p.3).</t>
  </si>
  <si>
    <t>Énoncé TP, §3 « Périmètre minimal obligatoire », p.2</t>
  </si>
  <si>
    <t>T1, Scénarios</t>
  </si>
  <si>
    <t>O-11</t>
  </si>
  <si>
    <t>Citer la version exacte dans la partie « Méthode suivie » du dossier (étape 30).</t>
  </si>
  <si>
    <t>Aucune.</t>
  </si>
  <si>
    <t>Classeur, onglet Intro ; cours normes p.68–69 (« Conserver la traçabilité de la version utilisée »)</t>
  </si>
  <si>
    <t>Intro</t>
  </si>
  <si>
    <t>O-12</t>
  </si>
  <si>
    <t>Dans le classeur, les feuilles Param et Delta sont masquées. Param contient : IndG = 1, Tmax = 0,9, Tmin = 0,9, et les modules Classif, Services, Analyse, Traitement à « FALSE » (non masqués).</t>
  </si>
  <si>
    <t>L'énoncé demande de lire Param (étape 3) et de consulter Delta (étape 26) : il faut les afficher. Toute modification de paramètre doit être tracée (§9, p.6).</t>
  </si>
  <si>
    <t>Classeur (propriétés des feuilles, onglet Param) ; énoncé p.2 et p.4</t>
  </si>
  <si>
    <t>Param, Delta</t>
  </si>
  <si>
    <t>H-01</t>
  </si>
  <si>
    <t>Le MFA n'est pas systématiquement activé pour les comptes administrateurs.</t>
  </si>
  <si>
    <t>Augmente le risque de compromission de compte.</t>
  </si>
  <si>
    <t>À confirmer par le responsable IT.</t>
  </si>
  <si>
    <t>Hypothèse</t>
  </si>
  <si>
    <t>Énoncé TP, §7 « Journal des hypothèses », p.5 (exemple du prof)</t>
  </si>
  <si>
    <t>Services 3A03, 3A06, 3A07 (par intitulé)</t>
  </si>
  <si>
    <t>À valider</t>
  </si>
  <si>
    <t>H-02</t>
  </si>
  <si>
    <t>Les sauvegardes cloud ne font pas l'objet de tests de restauration trimestriels.</t>
  </si>
  <si>
    <t>Risque de reprise incertaine après incident.</t>
  </si>
  <si>
    <t>À confirmer par l'équipe exploitation.</t>
  </si>
  <si>
    <t>Énoncé TP, §7, p.5 (exemple du prof)</t>
  </si>
  <si>
    <t>Service 4A04 « Sauvegarde de recours des données externalisées » (par intitulé)</t>
  </si>
  <si>
    <t>H-03</t>
  </si>
  <si>
    <t>Les données de formation sont hébergées chez un prestataire situé dans l'UE.</t>
  </si>
  <si>
    <t>Influence les risques de conformité et de disponibilité fournisseur.</t>
  </si>
  <si>
    <t>À vérifier dans le contrat.</t>
  </si>
  <si>
    <t>Service 1B07 (par intitulé)</t>
  </si>
  <si>
    <t>H-04</t>
  </si>
  <si>
    <t>Les serveurs virtuels reposent sur un hyperviseur local.</t>
  </si>
  <si>
    <t>Concerne l'infrastructure interne (questionnaire 3 Sys, rubrique 3B « Sûreté de fonctionnement de l'architecture interne »).</t>
  </si>
  <si>
    <t>À confirmer : l'énoncé dit seulement « quelques serveurs virtuels ».</t>
  </si>
  <si>
    <t>Notes de lecture de l'équipe (« Hyperviseur + Prestataires ») sur l'énoncé p.2</t>
  </si>
  <si>
    <t>3 Sys (3B01)</t>
  </si>
  <si>
    <t>H-05</t>
  </si>
  <si>
    <t>L'accès distant se fait probablement par VPN.</t>
  </si>
  <si>
    <t>Concerne le périmètre « accès distant » et le télétravail (O-06).</t>
  </si>
  <si>
    <t>À confirmer : mode d'accès distant non décrit (M-02).</t>
  </si>
  <si>
    <t>Notes de lecture de l'équipe (« Probablement un VPN ») sur l'énoncé p.2</t>
  </si>
  <si>
    <t>Services 1B02, 6A02 (par intitulé)</t>
  </si>
  <si>
    <t>H-06</t>
  </si>
  <si>
    <t>La répartition des droits entre comptes administrateurs et formateurs est ambiguë.</t>
  </si>
  <si>
    <t>Concerne la gestion des autorisations et des accès privilégiés.</t>
  </si>
  <si>
    <t>À confirmer : l'énoncé dit seulement « droits variables selon les applications » (M-04).</t>
  </si>
  <si>
    <t>Notes de lecture de l'équipe (« Droits ambigus ») sur l'énoncé p.2</t>
  </si>
  <si>
    <t>Services 3A02, 3A06 (par intitulé)</t>
  </si>
  <si>
    <t>J-01</t>
  </si>
  <si>
    <t>LMS, visioconférence et messagerie : qualifiées de « critiques » pendant les périodes de formation.</t>
  </si>
  <si>
    <t>Disponibilité au niveau le plus haut de l'échelle de l'équipe pour ces services ; niveau chiffré dans T1/T2 à fixer (voir Q-03).</t>
  </si>
  <si>
    <t>Validation de l'équipe ; cohérence avec l'exemple de l'énoncé (LMS : D élevée).</t>
  </si>
  <si>
    <t>Justification DIC</t>
  </si>
  <si>
    <t>Énoncé p.2 (« indispensables pendant les périodes de formation ») ; notes de l'équipe (« Qualifié de Critique »)</t>
  </si>
  <si>
    <t>J-02</t>
  </si>
  <si>
    <t>Exemple de l'énoncé — Dossiers de financement des apprenants : D élevée, I élevée, C élevée.</t>
  </si>
  <si>
    <t>Justification donnée par l'énoncé : retard de prise en charge, erreurs administratives, exposition de données personnelles et financières.</t>
  </si>
  <si>
    <t>Reprendre ou adapter ; convertir en niveau 1–4 (Q-03).</t>
  </si>
  <si>
    <t>Énoncé TP, séance 1, tableau « Exemple d'actif », p.3</t>
  </si>
  <si>
    <t>J-03</t>
  </si>
  <si>
    <t>Exemple de l'énoncé — Plateforme LMS : D élevée, I moyenne à élevée, C moyenne.</t>
  </si>
  <si>
    <t>Justification donnée par l'énoncé : interruption des formations, altération de contenus ou de résultats, accès d'apprenants non autorisés.</t>
  </si>
  <si>
    <t>Énoncé TP, séance 1, p.3</t>
  </si>
  <si>
    <t>J-04</t>
  </si>
  <si>
    <t>Exemple de l'énoncé — Site vitrine public : D moyenne, I moyenne, C faible.</t>
  </si>
  <si>
    <t>Justification donnée par l'énoncé : atteinte à l'image et perte d'opportunités commerciales, mais confidentialité limitée.</t>
  </si>
  <si>
    <t>T1 D06 / T2 S03</t>
  </si>
  <si>
    <t>M-01</t>
  </si>
  <si>
    <t>Quels services sont hébergés chez des prestataires cloud (l'énoncé dit « une partie des services »).</t>
  </si>
  <si>
    <t>Nécessaire pour remplir Classif S02 / D07 et les questionnaires sur les services externalisés.</t>
  </si>
  <si>
    <t>Information manquante</t>
  </si>
  <si>
    <t>Énoncé p.2</t>
  </si>
  <si>
    <t>M-02</t>
  </si>
  <si>
    <t>Mode d'accès distant (VPN, portail, accès direct aux applications SaaS…).</t>
  </si>
  <si>
    <t>L'accès distant fait partie du périmètre minimal.</t>
  </si>
  <si>
    <t>Énoncé p.2 (périmètre)</t>
  </si>
  <si>
    <t>M-03</t>
  </si>
  <si>
    <t>Équipements réseau essentiels (nature, nombre, administration).</t>
  </si>
  <si>
    <t>Ils font partie du périmètre minimal mais ne sont pas décrits.</t>
  </si>
  <si>
    <t>M-04</t>
  </si>
  <si>
    <t>Nombre de comptes à privilèges et règles d'attribution des droits.</t>
  </si>
  <si>
    <t>Comptes à privilèges dans le périmètre ; droits seulement qualifiés de « variables ».</t>
  </si>
  <si>
    <t>M-05</t>
  </si>
  <si>
    <t>Politique de sauvegarde : fréquence, rétention, lieu de conservation, derniers tests de restauration.</t>
  </si>
  <si>
    <t>L'énoncé mentionne seulement une « absence ponctuelle de sauvegardes vérifiées ». L'introduction donne comme exemple d'information manquante « le dernier compte rendu de test de restauration ».</t>
  </si>
  <si>
    <t>Énoncé p.2 ; introduction aux TP p.14</t>
  </si>
  <si>
    <t>M-06</t>
  </si>
  <si>
    <t>Date, fréquence et conséquences des incidents mineurs.</t>
  </si>
  <si>
    <t>Utile pour justifier une éventuelle modification d'Expo (étape 18).</t>
  </si>
  <si>
    <t>M-07</t>
  </si>
  <si>
    <t>Durée d'interruption tolérable de la LMS, de la visio et de la messagerie en période de formation.</t>
  </si>
  <si>
    <t>Nécessaire pour fixer les seuils de l'échelle de gravité (étape 9 ; guide p.30 : paramètres et seuils).</t>
  </si>
  <si>
    <t>Énoncé p.2 et p.2–3 ; guide p.30</t>
  </si>
  <si>
    <t>M-08</t>
  </si>
  <si>
    <t>Montant du budget sécurité.</t>
  </si>
  <si>
    <t>L'énoncé demande seulement une estimation faible / moyen / élevé (étape 25).</t>
  </si>
  <si>
    <t>Énoncé p.2 et p.4</t>
  </si>
  <si>
    <t>M-09</t>
  </si>
  <si>
    <t>Organisation informatique et sécurité d'AFN (qui est responsable de quoi).</t>
  </si>
  <si>
    <t>Les modèles de l'énoncé citent « responsable IT », « équipe exploitation », « référent données / IT », « Direction / RH / IT », mais le cas ne décrit pas l'organisation.</t>
  </si>
  <si>
    <t>Énoncé §7, p.5–6</t>
  </si>
  <si>
    <t>M-10</t>
  </si>
  <si>
    <t>Contrats des prestataires cloud (localisation des données, engagements).</t>
  </si>
  <si>
    <t>H-03 indique « à vérifier dans le contrat » ; le registre exemple R-03 cite des « engagements contractuels ».</t>
  </si>
  <si>
    <t>Énoncé §7, p.5</t>
  </si>
  <si>
    <t>M-11</t>
  </si>
  <si>
    <t>Description des postes de travail (nombre, protection, mises à jour).</t>
  </si>
  <si>
    <t>Les postes de travail font partie du périmètre minimal.</t>
  </si>
  <si>
    <t>M-12</t>
  </si>
  <si>
    <t>Validation par la direction d'AFN de la grille d'acceptabilité des risques (onglet Gravité).</t>
  </si>
  <si>
    <t>Le guide demande un accord et un consensus des instances de décision sur cette grille.</t>
  </si>
  <si>
    <t>Guide p.41 (10.7)</t>
  </si>
  <si>
    <t>Question enseignant</t>
  </si>
  <si>
    <t>Introduction aux TP p.14</t>
  </si>
  <si>
    <t>Règle</t>
  </si>
  <si>
    <t>R-01</t>
  </si>
  <si>
    <t>Toute information absente du cas doit être formulée explicitement comme hypothèse.</t>
  </si>
  <si>
    <t>Énoncé p.2, étape 5</t>
  </si>
  <si>
    <t>R-02</t>
  </si>
  <si>
    <t>Ouvrir un journal d'hypothèses, de questions et d'informations manquantes.</t>
  </si>
  <si>
    <t>Introduction aux TP p.18–19</t>
  </si>
  <si>
    <t>R-03</t>
  </si>
  <si>
    <t>Quatre statuts : fait établi (preuve identifiable), déclaration (sans preuve complémentaire), hypothèse (interprétation à confirmer), information manquante (nécessaire mais indisponible). Ne jamais transformer une déclaration ou une hypothèse en fait établi.</t>
  </si>
  <si>
    <t>R-04</t>
  </si>
  <si>
    <t>Ne pas inventer de preuves, de sources ou d'éléments factuels pour compléter le cas.</t>
  </si>
  <si>
    <t>Introduction aux TP p.21</t>
  </si>
  <si>
    <t>R-05</t>
  </si>
  <si>
    <t>Une absence de preuve n'est pas une preuve d'absence : qualifier l'information comme manquante et indiquer ce qu'il faudrait vérifier.</t>
  </si>
  <si>
    <t>Introduction aux TP p.13</t>
  </si>
  <si>
    <t>R-06</t>
  </si>
  <si>
    <t>Justifier chaque niveau élevé de disponibilité, intégrité ou confidentialité dans le journal d'hypothèses.</t>
  </si>
  <si>
    <t>Énoncé p.3, étape 12</t>
  </si>
  <si>
    <t>R-07</t>
  </si>
  <si>
    <t>Une cotation élevée doit renvoyer à une conséquence concrète (interruption d'activité, perte ou divulgation de données, retard de formation ou de facturation, non-respect d'une obligation, perte financière, atteinte à l'image…).</t>
  </si>
  <si>
    <t>Introduction aux TP p.15 ; énoncé §9 p.6</t>
  </si>
  <si>
    <t>R-08</t>
  </si>
  <si>
    <t>Échelle de gravité : décrire avec des exemples les impacts faible, modéré, important et critique. Le guide recommande de fixer pour chaque dysfonctionnement les paramètres et seuils qui font passer d'un niveau à l'autre.</t>
  </si>
  <si>
    <t>Énoncé p.3, étape 9 ; guide p.30 (7.2)</t>
  </si>
  <si>
    <t>R-09</t>
  </si>
  <si>
    <t>Dans T1 / T2, une case à 1 génère des scénarios d'impact non significatif ; une case vide n'en génère aucun.</t>
  </si>
  <si>
    <t>Guide p.34 (8.5.1)</t>
  </si>
  <si>
    <t>R-10</t>
  </si>
  <si>
    <t>Choisir une seule variante de notation (V1, V2, V3 ou V4) et l'utiliser uniformément. Si plusieurs variantes sont remplies, l'onglet Services retient le minimum.</t>
  </si>
  <si>
    <t>Énoncé p.3, étape 13 ; guide p.35–36 (9.2.1, 9.3)</t>
  </si>
  <si>
    <t>R-11</t>
  </si>
  <si>
    <t>Notes 0 à 4 : 0 inexistant, 1 partiel, 2 en place mais incomplet, 3 correctement mis en œuvre, 4 mature et documenté.</t>
  </si>
  <si>
    <t>Énoncé p.3, étape 15 (voir Q-01)</t>
  </si>
  <si>
    <t>R-12</t>
  </si>
  <si>
    <t>Documenter une preuve, une observation ou une hypothèse pour toute note de 0, 1 ou 2 sur un contrôle important ; garder la trace des explications dans une colonne Commentaires.</t>
  </si>
  <si>
    <t>Énoncé p.3, étape 16 ; guide p.36 (9.2.2)</t>
  </si>
  <si>
    <t>R-13</t>
  </si>
  <si>
    <t>Réponses ambiguës (« oui en théorie », « oui à X % », « c'est prévu ») : répondre « oui » seulement si la correction ou le déploiement est sous contrôle et maîtrisé, sinon « non ».</t>
  </si>
  <si>
    <t>Guide p.36 (9.2.2)</t>
  </si>
  <si>
    <t>R-14</t>
  </si>
  <si>
    <t>Expo : ne modifier l'exposition naturelle que si le contexte le justifie, et conserver une trace du motif. Même règle pour les paramètres.</t>
  </si>
  <si>
    <t>Énoncé p.3 étape 18 et §9 p.6 ; guide p.40 (10.5)</t>
  </si>
  <si>
    <t>R-15</t>
  </si>
  <si>
    <t>Désélections possibles (0 dans « Sélection ») : activités (T1), actifs primaires (Classif), actifs support, types de dommage, types d'événements.</t>
  </si>
  <si>
    <t>Guide p.37–41 (10.1 à 10.6)</t>
  </si>
  <si>
    <t>R-16</t>
  </si>
  <si>
    <t>Retenir 10 à 20 scénarios ; exclure explicitement ceux hors périmètre ; chaque scénario répond à : quel actif, quel événement ou acteur, quelle conséquence métier.</t>
  </si>
  <si>
    <t>Énoncé p.3, étape 19 et règle de sélection</t>
  </si>
  <si>
    <t>R-17</t>
  </si>
  <si>
    <t>Les risques acceptés, évités ou transférés sont reportés dans la colonne AA de la feuille Scénarios.</t>
  </si>
  <si>
    <t>Guide p.48 (12.3)</t>
  </si>
  <si>
    <t>R-18</t>
  </si>
  <si>
    <t>Pour les risques acceptés temporairement, préciser les conditions et la surveillance.</t>
  </si>
  <si>
    <t>Énoncé §10, questions de restitution, p.6–7</t>
  </si>
  <si>
    <t>R-19</t>
  </si>
  <si>
    <t>Les scores dépendent de conventions et d'une base donnée ; ils ne sont pas universels. Conserver la traçabilité de la version utilisée.</t>
  </si>
  <si>
    <t>Cours normes p.69</t>
  </si>
  <si>
    <t>R-20</t>
  </si>
  <si>
    <t>Signaler les limites de l'analyse.</t>
  </si>
  <si>
    <t>Énoncé p.4 étape 30 ; introduction aux TP p.19</t>
  </si>
  <si>
    <t>Synthèse du journal</t>
  </si>
  <si>
    <t>Calculée automatiquement à partir de l'onglet Journal.</t>
  </si>
  <si>
    <t>Déclaration</t>
  </si>
  <si>
    <t>Total</t>
  </si>
  <si>
    <t>Validé équipe</t>
  </si>
  <si>
    <t>Confirmé enseignant</t>
  </si>
  <si>
    <t>O : observations tirées de l'énoncé ou du classeur.
H-01 à H-03 : exemples d'hypothèses donnés par l'énoncé.
H-04 à H-06 et J-01 : notes de lecture de l'équipe.
J-02 à J-04 : exemples DIC de l'énoncé.
M : informations manquantes (exigées par le périmètre ou les étapes, absentes du cas).
Q : questions à l'enseignant, chacune née d'un écart entre deux documents.</t>
  </si>
  <si>
    <t>Énoncé « TP MEHARI – Analyse de risques SSI »
« Introduction aux TP : analyse de risques, audit SSI et gouvernance cyber »
CLUSIF, « MEHARI–Standard 2022, Guide de l'utilisateur », Éd. 2, août 2022
Cours « Cybersécurité : normes et standards » BUT3 v2026
Classeur DB-Standard-2022-Ed.2.1
Notes de lecture de l'équipe sur l'énoncé.</t>
  </si>
  <si>
    <t>Le classeur utilisé est MEHARI–Standard 2022, édition 2.1 (10/08/2022).</t>
  </si>
  <si>
    <t>Signaler dans « Méthode et limites » ; poser une hypothèse si nécessaire.</t>
  </si>
  <si>
    <t>Journal d'hypothèses - TP MEHARI, Alsace Formation Numérique (AFN)</t>
  </si>
  <si>
    <t>Version 1 du 08/10/2026.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</si>
</sst>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4"/>
      <color rgb="FF0D5E73"/>
      <name val="Arial"/>
      <charset val="1"/>
    </font>
    <font>
      <i/>
      <sz val="10"/>
      <color rgb="FF5A6676"/>
      <name val="Arial"/>
      <charset val="1"/>
    </font>
    <font>
      <b/>
      <sz val="11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D5E73"/>
        <bgColor rgb="FF0A4757"/>
      </patternFill>
    </fill>
    <fill>
      <patternFill patternType="solid">
        <fgColor rgb="FF0D5E73"/>
        <bgColor rgb="FF0D5E73"/>
      </patternFill>
    </fill>
  </fills>
  <borders count="2">
    <border>
      <left/>
      <right/>
      <top/>
      <bottom/>
      <diagonal/>
    </border>
    <border>
      <left style="thin">
        <color rgb="FFC9D1DA"/>
      </left>
      <right style="thin">
        <color rgb="FFC9D1DA"/>
      </right>
      <top style="thin">
        <color rgb="FFC9D1DA"/>
      </top>
      <bottom style="thin">
        <color rgb="FFC9D1DA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1" fillId="0" borderId="0" xfId="0" applyFont="1"/>
    <xf numFmtId="0" fontId="2" fillId="0" borderId="0" xfId="0" applyFont="1"/>
    <xf numFmtId="0" fontId="5" fillId="2" borderId="1" xfId="0" applyFont="1" applyFill="1" applyBorder="1" applyAlignment="1">
      <alignment horizontal="center" wrapText="1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1" xfId="0" applyFont="1" applyBorder="1"/>
    <xf numFmtId="0" fontId="7" fillId="0" borderId="1" xfId="0" applyFont="1" applyBorder="1" applyAlignment="1">
      <alignment vertical="top" wrapText="1"/>
    </xf>
    <xf numFmtId="0" fontId="0" fillId="0" borderId="0" xfId="0"/>
    <xf numFmtId="0" fontId="4" fillId="0" borderId="1" xfId="0" applyFont="1" applyBorder="1" applyAlignment="1">
      <alignment vertical="top" wrapText="1"/>
    </xf>
    <xf numFmtId="0" fontId="5" fillId="3" borderId="1" xfId="0" applyFont="1" applyFill="1" applyBorder="1" applyAlignment="1">
      <alignment vertical="center" wrapText="1"/>
    </xf>
    <xf numFmtId="0" fontId="0" fillId="0" borderId="0" xfId="0"/>
    <xf numFmtId="0" fontId="5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/>
    </xf>
  </cellXfs>
  <cellStyles count="1">
    <cellStyle name="Normal" xfId="0" builtinId="0"/>
  </cellStyles>
  <dxfs count="4">
    <dxf>
      <font>
        <b/>
        <color rgb="FFA3182A"/>
        <name val="Arial"/>
        <charset val="1"/>
      </font>
      <fill>
        <patternFill>
          <bgColor rgb="FFF8DFE2"/>
        </patternFill>
      </fill>
    </dxf>
    <dxf>
      <font>
        <b/>
        <color rgb="FF9A6B00"/>
        <name val="Arial"/>
        <charset val="1"/>
      </font>
      <fill>
        <patternFill>
          <bgColor rgb="FFFBF1D9"/>
        </patternFill>
      </fill>
    </dxf>
    <dxf>
      <font>
        <b/>
        <color rgb="FF0D5E73"/>
        <name val="Arial"/>
        <charset val="1"/>
      </font>
      <fill>
        <patternFill>
          <bgColor rgb="FFE3F0F3"/>
        </patternFill>
      </fill>
    </dxf>
    <dxf>
      <font>
        <b/>
        <color rgb="FF2F7D4F"/>
        <name val="Arial"/>
        <charset val="1"/>
      </font>
      <fill>
        <patternFill>
          <bgColor rgb="FFE4F2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6B00"/>
      <rgbColor rgb="FF800080"/>
      <rgbColor rgb="FF0D5E73"/>
      <rgbColor rgb="FFC0C0C0"/>
      <rgbColor rgb="FF808080"/>
      <rgbColor rgb="FF9999FF"/>
      <rgbColor rgb="FFB5501B"/>
      <rgbColor rgb="FFFBF1D9"/>
      <rgbColor rgb="FFE3F0F3"/>
      <rgbColor rgb="FF660066"/>
      <rgbColor rgb="FFFF8080"/>
      <rgbColor rgb="FF0066CC"/>
      <rgbColor rgb="FFC9D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F2E9"/>
      <rgbColor rgb="FFCCFFCC"/>
      <rgbColor rgb="FFFFFF99"/>
      <rgbColor rgb="FF99CCFF"/>
      <rgbColor rgb="FFFF99CC"/>
      <rgbColor rgb="FFCC99FF"/>
      <rgbColor rgb="FFF8DFE2"/>
      <rgbColor rgb="FF3366FF"/>
      <rgbColor rgb="FF33CCCC"/>
      <rgbColor rgb="FF99CC00"/>
      <rgbColor rgb="FFFFCC00"/>
      <rgbColor rgb="FFFF9900"/>
      <rgbColor rgb="FFFF6600"/>
      <rgbColor rgb="FF5A6676"/>
      <rgbColor rgb="FF969696"/>
      <rgbColor rgb="FF0A4757"/>
      <rgbColor rgb="FF2F7D4F"/>
      <rgbColor rgb="FF003300"/>
      <rgbColor rgb="FF333300"/>
      <rgbColor rgb="FFA3182A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D5E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A17"/>
  <sheetViews>
    <sheetView showGridLines="0" tabSelected="1" zoomScaleNormal="100" workbookViewId="0">
      <selection activeCell="A11" sqref="A11"/>
    </sheetView>
  </sheetViews>
  <sheetFormatPr baseColWidth="10" defaultColWidth="8.7109375" defaultRowHeight="15" x14ac:dyDescent="0.25"/>
  <cols>
    <col min="1" max="1" width="120" customWidth="1"/>
  </cols>
  <sheetData>
    <row r="1" spans="1:1" ht="18" x14ac:dyDescent="0.25">
      <c r="A1" s="1" t="s">
        <v>255</v>
      </c>
    </row>
    <row r="2" spans="1:1" x14ac:dyDescent="0.25">
      <c r="A2" s="2" t="s">
        <v>256</v>
      </c>
    </row>
    <row r="3" spans="1:1" x14ac:dyDescent="0.25">
      <c r="A3" s="3"/>
    </row>
    <row r="4" spans="1:1" x14ac:dyDescent="0.25">
      <c r="A4" s="4" t="s">
        <v>0</v>
      </c>
    </row>
    <row r="5" spans="1:1" ht="25.5" x14ac:dyDescent="0.25">
      <c r="A5" s="5" t="s">
        <v>1</v>
      </c>
    </row>
    <row r="6" spans="1:1" x14ac:dyDescent="0.25">
      <c r="A6" s="5" t="s">
        <v>2</v>
      </c>
    </row>
    <row r="7" spans="1:1" x14ac:dyDescent="0.25">
      <c r="A7" s="5" t="s">
        <v>3</v>
      </c>
    </row>
    <row r="8" spans="1:1" x14ac:dyDescent="0.25">
      <c r="A8" s="3"/>
    </row>
    <row r="9" spans="1:1" x14ac:dyDescent="0.25">
      <c r="A9" s="4" t="s">
        <v>4</v>
      </c>
    </row>
    <row r="10" spans="1:1" ht="76.5" x14ac:dyDescent="0.25">
      <c r="A10" s="5" t="s">
        <v>251</v>
      </c>
    </row>
    <row r="11" spans="1:1" x14ac:dyDescent="0.25">
      <c r="A11" s="3"/>
    </row>
    <row r="12" spans="1:1" x14ac:dyDescent="0.25">
      <c r="A12" s="3"/>
    </row>
    <row r="13" spans="1:1" x14ac:dyDescent="0.25">
      <c r="A13" s="4" t="s">
        <v>5</v>
      </c>
    </row>
    <row r="14" spans="1:1" ht="25.5" x14ac:dyDescent="0.25">
      <c r="A14" s="5" t="s">
        <v>6</v>
      </c>
    </row>
    <row r="15" spans="1:1" x14ac:dyDescent="0.25">
      <c r="A15" s="3"/>
    </row>
    <row r="16" spans="1:1" x14ac:dyDescent="0.25">
      <c r="A16" s="4" t="s">
        <v>7</v>
      </c>
    </row>
    <row r="17" spans="1:1" ht="76.5" x14ac:dyDescent="0.25">
      <c r="A17" s="5" t="s">
        <v>252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H7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" sqref="D2"/>
    </sheetView>
  </sheetViews>
  <sheetFormatPr baseColWidth="10" defaultColWidth="8.7109375" defaultRowHeight="15" x14ac:dyDescent="0.25"/>
  <cols>
    <col min="1" max="1" width="10.85546875" customWidth="1"/>
    <col min="2" max="2" width="55" customWidth="1"/>
    <col min="3" max="3" width="45" customWidth="1"/>
    <col min="4" max="4" width="18" style="20" customWidth="1"/>
    <col min="5" max="5" width="45" customWidth="1"/>
    <col min="6" max="6" width="17" customWidth="1"/>
    <col min="7" max="7" width="32" customWidth="1"/>
    <col min="8" max="8" width="32" style="17" customWidth="1"/>
  </cols>
  <sheetData>
    <row r="1" spans="1:8" ht="31.5" customHeight="1" x14ac:dyDescent="0.25">
      <c r="A1" s="19" t="s">
        <v>8</v>
      </c>
      <c r="B1" s="19" t="s">
        <v>9</v>
      </c>
      <c r="C1" s="19" t="s">
        <v>10</v>
      </c>
      <c r="D1" s="21" t="s">
        <v>13</v>
      </c>
      <c r="E1" s="19" t="s">
        <v>11</v>
      </c>
      <c r="F1" s="21" t="s">
        <v>12</v>
      </c>
      <c r="G1" s="21" t="s">
        <v>15</v>
      </c>
      <c r="H1" s="21" t="s">
        <v>14</v>
      </c>
    </row>
    <row r="2" spans="1:8" ht="38.25" x14ac:dyDescent="0.25">
      <c r="A2" s="7" t="s">
        <v>17</v>
      </c>
      <c r="B2" s="8" t="s">
        <v>18</v>
      </c>
      <c r="C2" s="8" t="s">
        <v>19</v>
      </c>
      <c r="D2" s="22" t="s">
        <v>22</v>
      </c>
      <c r="E2" s="18" t="s">
        <v>20</v>
      </c>
      <c r="F2" s="8" t="s">
        <v>21</v>
      </c>
      <c r="G2" s="8" t="s">
        <v>24</v>
      </c>
      <c r="H2" s="22" t="s">
        <v>23</v>
      </c>
    </row>
    <row r="3" spans="1:8" ht="38.25" x14ac:dyDescent="0.25">
      <c r="A3" s="7" t="s">
        <v>26</v>
      </c>
      <c r="B3" s="8" t="s">
        <v>27</v>
      </c>
      <c r="C3" s="8" t="s">
        <v>28</v>
      </c>
      <c r="D3" s="22" t="s">
        <v>22</v>
      </c>
      <c r="E3" s="18" t="s">
        <v>20</v>
      </c>
      <c r="F3" s="8" t="s">
        <v>21</v>
      </c>
      <c r="G3" s="8" t="s">
        <v>29</v>
      </c>
      <c r="H3" s="22" t="s">
        <v>23</v>
      </c>
    </row>
    <row r="4" spans="1:8" ht="38.25" x14ac:dyDescent="0.25">
      <c r="A4" s="7" t="s">
        <v>30</v>
      </c>
      <c r="B4" s="8" t="s">
        <v>31</v>
      </c>
      <c r="C4" s="8" t="s">
        <v>32</v>
      </c>
      <c r="D4" s="22" t="s">
        <v>22</v>
      </c>
      <c r="E4" s="18" t="s">
        <v>20</v>
      </c>
      <c r="F4" s="8" t="s">
        <v>21</v>
      </c>
      <c r="G4" s="8" t="s">
        <v>34</v>
      </c>
      <c r="H4" s="22" t="s">
        <v>33</v>
      </c>
    </row>
    <row r="5" spans="1:8" ht="38.25" x14ac:dyDescent="0.25">
      <c r="A5" s="7" t="s">
        <v>35</v>
      </c>
      <c r="B5" s="8" t="s">
        <v>36</v>
      </c>
      <c r="C5" s="8" t="s">
        <v>37</v>
      </c>
      <c r="D5" s="22" t="s">
        <v>22</v>
      </c>
      <c r="E5" s="18" t="s">
        <v>38</v>
      </c>
      <c r="F5" s="8" t="s">
        <v>21</v>
      </c>
      <c r="G5" s="8" t="s">
        <v>40</v>
      </c>
      <c r="H5" s="22" t="s">
        <v>39</v>
      </c>
    </row>
    <row r="6" spans="1:8" ht="38.25" x14ac:dyDescent="0.25">
      <c r="A6" s="7" t="s">
        <v>41</v>
      </c>
      <c r="B6" s="8" t="s">
        <v>42</v>
      </c>
      <c r="C6" s="8" t="s">
        <v>43</v>
      </c>
      <c r="D6" s="22" t="s">
        <v>22</v>
      </c>
      <c r="E6" s="18" t="s">
        <v>44</v>
      </c>
      <c r="F6" s="8" t="s">
        <v>21</v>
      </c>
      <c r="G6" s="8" t="s">
        <v>45</v>
      </c>
      <c r="H6" s="22" t="s">
        <v>39</v>
      </c>
    </row>
    <row r="7" spans="1:8" ht="38.25" x14ac:dyDescent="0.25">
      <c r="A7" s="7" t="s">
        <v>46</v>
      </c>
      <c r="B7" s="8" t="s">
        <v>47</v>
      </c>
      <c r="C7" s="8" t="s">
        <v>48</v>
      </c>
      <c r="D7" s="22" t="s">
        <v>22</v>
      </c>
      <c r="E7" s="18" t="s">
        <v>49</v>
      </c>
      <c r="F7" s="8" t="s">
        <v>21</v>
      </c>
      <c r="G7" s="8" t="s">
        <v>50</v>
      </c>
      <c r="H7" s="22" t="s">
        <v>39</v>
      </c>
    </row>
    <row r="8" spans="1:8" ht="25.5" x14ac:dyDescent="0.25">
      <c r="A8" s="7" t="s">
        <v>51</v>
      </c>
      <c r="B8" s="8" t="s">
        <v>52</v>
      </c>
      <c r="C8" s="8" t="s">
        <v>53</v>
      </c>
      <c r="D8" s="22" t="s">
        <v>22</v>
      </c>
      <c r="E8" s="18" t="s">
        <v>54</v>
      </c>
      <c r="F8" s="8" t="s">
        <v>21</v>
      </c>
      <c r="G8" s="8" t="s">
        <v>55</v>
      </c>
      <c r="H8" s="22" t="s">
        <v>39</v>
      </c>
    </row>
    <row r="9" spans="1:8" ht="76.5" x14ac:dyDescent="0.25">
      <c r="A9" s="7" t="s">
        <v>56</v>
      </c>
      <c r="B9" s="8" t="s">
        <v>57</v>
      </c>
      <c r="C9" s="8" t="s">
        <v>58</v>
      </c>
      <c r="D9" s="22" t="s">
        <v>22</v>
      </c>
      <c r="E9" s="18" t="s">
        <v>59</v>
      </c>
      <c r="F9" s="8" t="s">
        <v>21</v>
      </c>
      <c r="G9" s="8" t="s">
        <v>61</v>
      </c>
      <c r="H9" s="22" t="s">
        <v>60</v>
      </c>
    </row>
    <row r="10" spans="1:8" ht="25.5" x14ac:dyDescent="0.25">
      <c r="A10" s="7" t="s">
        <v>62</v>
      </c>
      <c r="B10" s="8" t="s">
        <v>63</v>
      </c>
      <c r="C10" s="8" t="s">
        <v>64</v>
      </c>
      <c r="D10" s="22" t="s">
        <v>22</v>
      </c>
      <c r="E10" s="18" t="s">
        <v>65</v>
      </c>
      <c r="F10" s="8" t="s">
        <v>21</v>
      </c>
      <c r="G10" s="8" t="s">
        <v>66</v>
      </c>
      <c r="H10" s="22" t="s">
        <v>39</v>
      </c>
    </row>
    <row r="11" spans="1:8" ht="76.5" x14ac:dyDescent="0.25">
      <c r="A11" s="7" t="s">
        <v>67</v>
      </c>
      <c r="B11" s="8" t="s">
        <v>68</v>
      </c>
      <c r="C11" s="8" t="s">
        <v>69</v>
      </c>
      <c r="D11" s="22" t="s">
        <v>22</v>
      </c>
      <c r="E11" s="18" t="s">
        <v>20</v>
      </c>
      <c r="F11" s="8" t="s">
        <v>21</v>
      </c>
      <c r="G11" s="8" t="s">
        <v>71</v>
      </c>
      <c r="H11" s="22" t="s">
        <v>70</v>
      </c>
    </row>
    <row r="12" spans="1:8" ht="38.25" x14ac:dyDescent="0.25">
      <c r="A12" s="7" t="s">
        <v>72</v>
      </c>
      <c r="B12" s="8" t="s">
        <v>253</v>
      </c>
      <c r="C12" s="8" t="s">
        <v>73</v>
      </c>
      <c r="D12" s="22" t="s">
        <v>22</v>
      </c>
      <c r="E12" s="18" t="s">
        <v>74</v>
      </c>
      <c r="F12" s="8" t="s">
        <v>21</v>
      </c>
      <c r="G12" s="8" t="s">
        <v>76</v>
      </c>
      <c r="H12" s="22" t="s">
        <v>75</v>
      </c>
    </row>
    <row r="13" spans="1:8" ht="51" x14ac:dyDescent="0.25">
      <c r="A13" s="7" t="s">
        <v>77</v>
      </c>
      <c r="B13" s="8" t="s">
        <v>78</v>
      </c>
      <c r="C13" s="8" t="s">
        <v>79</v>
      </c>
      <c r="D13" s="22" t="s">
        <v>22</v>
      </c>
      <c r="E13" s="18" t="s">
        <v>74</v>
      </c>
      <c r="F13" s="8" t="s">
        <v>21</v>
      </c>
      <c r="G13" s="8" t="s">
        <v>81</v>
      </c>
      <c r="H13" s="22" t="s">
        <v>80</v>
      </c>
    </row>
    <row r="14" spans="1:8" ht="25.5" x14ac:dyDescent="0.25">
      <c r="A14" s="7" t="s">
        <v>82</v>
      </c>
      <c r="B14" s="8" t="s">
        <v>83</v>
      </c>
      <c r="C14" s="8" t="s">
        <v>84</v>
      </c>
      <c r="D14" s="22" t="s">
        <v>86</v>
      </c>
      <c r="E14" s="18" t="s">
        <v>85</v>
      </c>
      <c r="F14" s="8" t="s">
        <v>86</v>
      </c>
      <c r="G14" s="8" t="s">
        <v>88</v>
      </c>
      <c r="H14" s="22" t="s">
        <v>87</v>
      </c>
    </row>
    <row r="15" spans="1:8" ht="38.25" x14ac:dyDescent="0.25">
      <c r="A15" s="7" t="s">
        <v>90</v>
      </c>
      <c r="B15" s="8" t="s">
        <v>91</v>
      </c>
      <c r="C15" s="8" t="s">
        <v>92</v>
      </c>
      <c r="D15" s="22" t="s">
        <v>86</v>
      </c>
      <c r="E15" s="18" t="s">
        <v>93</v>
      </c>
      <c r="F15" s="8" t="s">
        <v>86</v>
      </c>
      <c r="G15" s="8" t="s">
        <v>95</v>
      </c>
      <c r="H15" s="22" t="s">
        <v>94</v>
      </c>
    </row>
    <row r="16" spans="1:8" ht="25.5" x14ac:dyDescent="0.25">
      <c r="A16" s="7" t="s">
        <v>96</v>
      </c>
      <c r="B16" s="8" t="s">
        <v>97</v>
      </c>
      <c r="C16" s="8" t="s">
        <v>98</v>
      </c>
      <c r="D16" s="22" t="s">
        <v>86</v>
      </c>
      <c r="E16" s="18" t="s">
        <v>99</v>
      </c>
      <c r="F16" s="8" t="s">
        <v>86</v>
      </c>
      <c r="G16" s="8" t="s">
        <v>100</v>
      </c>
      <c r="H16" s="22" t="s">
        <v>94</v>
      </c>
    </row>
    <row r="17" spans="1:8" ht="38.25" x14ac:dyDescent="0.25">
      <c r="A17" s="7" t="s">
        <v>101</v>
      </c>
      <c r="B17" s="8" t="s">
        <v>102</v>
      </c>
      <c r="C17" s="8" t="s">
        <v>103</v>
      </c>
      <c r="D17" s="22" t="s">
        <v>86</v>
      </c>
      <c r="E17" s="18" t="s">
        <v>104</v>
      </c>
      <c r="F17" s="8" t="s">
        <v>86</v>
      </c>
      <c r="G17" s="8" t="s">
        <v>106</v>
      </c>
      <c r="H17" s="22" t="s">
        <v>105</v>
      </c>
    </row>
    <row r="18" spans="1:8" ht="38.25" x14ac:dyDescent="0.25">
      <c r="A18" s="7" t="s">
        <v>107</v>
      </c>
      <c r="B18" s="8" t="s">
        <v>108</v>
      </c>
      <c r="C18" s="8" t="s">
        <v>109</v>
      </c>
      <c r="D18" s="22" t="s">
        <v>86</v>
      </c>
      <c r="E18" s="18" t="s">
        <v>110</v>
      </c>
      <c r="F18" s="8" t="s">
        <v>86</v>
      </c>
      <c r="G18" s="8" t="s">
        <v>112</v>
      </c>
      <c r="H18" s="22" t="s">
        <v>111</v>
      </c>
    </row>
    <row r="19" spans="1:8" ht="25.5" x14ac:dyDescent="0.25">
      <c r="A19" s="7" t="s">
        <v>113</v>
      </c>
      <c r="B19" s="8" t="s">
        <v>114</v>
      </c>
      <c r="C19" s="8" t="s">
        <v>115</v>
      </c>
      <c r="D19" s="22" t="s">
        <v>86</v>
      </c>
      <c r="E19" s="18" t="s">
        <v>116</v>
      </c>
      <c r="F19" s="8" t="s">
        <v>86</v>
      </c>
      <c r="G19" s="8" t="s">
        <v>118</v>
      </c>
      <c r="H19" s="22" t="s">
        <v>117</v>
      </c>
    </row>
    <row r="20" spans="1:8" ht="51" x14ac:dyDescent="0.25">
      <c r="A20" s="7" t="s">
        <v>119</v>
      </c>
      <c r="B20" s="8" t="s">
        <v>120</v>
      </c>
      <c r="C20" s="8" t="s">
        <v>121</v>
      </c>
      <c r="D20" s="22" t="s">
        <v>123</v>
      </c>
      <c r="E20" s="18" t="s">
        <v>122</v>
      </c>
      <c r="F20" s="8" t="s">
        <v>86</v>
      </c>
      <c r="G20" s="8" t="s">
        <v>40</v>
      </c>
      <c r="H20" s="22" t="s">
        <v>124</v>
      </c>
    </row>
    <row r="21" spans="1:8" ht="38.25" x14ac:dyDescent="0.25">
      <c r="A21" s="7" t="s">
        <v>125</v>
      </c>
      <c r="B21" s="8" t="s">
        <v>126</v>
      </c>
      <c r="C21" s="8" t="s">
        <v>127</v>
      </c>
      <c r="D21" s="22" t="s">
        <v>123</v>
      </c>
      <c r="E21" s="18" t="s">
        <v>128</v>
      </c>
      <c r="F21" s="8" t="s">
        <v>86</v>
      </c>
      <c r="G21" s="8" t="s">
        <v>34</v>
      </c>
      <c r="H21" s="22" t="s">
        <v>129</v>
      </c>
    </row>
    <row r="22" spans="1:8" ht="38.25" x14ac:dyDescent="0.25">
      <c r="A22" s="7" t="s">
        <v>130</v>
      </c>
      <c r="B22" s="8" t="s">
        <v>131</v>
      </c>
      <c r="C22" s="8" t="s">
        <v>132</v>
      </c>
      <c r="D22" s="22" t="s">
        <v>123</v>
      </c>
      <c r="E22" s="18" t="s">
        <v>128</v>
      </c>
      <c r="F22" s="8" t="s">
        <v>86</v>
      </c>
      <c r="G22" s="8" t="s">
        <v>40</v>
      </c>
      <c r="H22" s="22" t="s">
        <v>133</v>
      </c>
    </row>
    <row r="23" spans="1:8" ht="38.25" x14ac:dyDescent="0.25">
      <c r="A23" s="7" t="s">
        <v>134</v>
      </c>
      <c r="B23" s="8" t="s">
        <v>135</v>
      </c>
      <c r="C23" s="8" t="s">
        <v>136</v>
      </c>
      <c r="D23" s="22" t="s">
        <v>123</v>
      </c>
      <c r="E23" s="18" t="s">
        <v>128</v>
      </c>
      <c r="F23" s="8" t="s">
        <v>86</v>
      </c>
      <c r="G23" s="8" t="s">
        <v>137</v>
      </c>
      <c r="H23" s="22" t="s">
        <v>133</v>
      </c>
    </row>
    <row r="24" spans="1:8" ht="25.5" x14ac:dyDescent="0.25">
      <c r="A24" s="7" t="s">
        <v>138</v>
      </c>
      <c r="B24" s="8" t="s">
        <v>139</v>
      </c>
      <c r="C24" s="8" t="s">
        <v>140</v>
      </c>
      <c r="D24" s="22" t="s">
        <v>141</v>
      </c>
      <c r="E24" s="18" t="s">
        <v>254</v>
      </c>
      <c r="F24" s="8" t="s">
        <v>141</v>
      </c>
      <c r="G24" s="8" t="s">
        <v>24</v>
      </c>
      <c r="H24" s="22" t="s">
        <v>142</v>
      </c>
    </row>
    <row r="25" spans="1:8" ht="25.5" x14ac:dyDescent="0.25">
      <c r="A25" s="7" t="s">
        <v>143</v>
      </c>
      <c r="B25" s="8" t="s">
        <v>144</v>
      </c>
      <c r="C25" s="8" t="s">
        <v>145</v>
      </c>
      <c r="D25" s="22" t="s">
        <v>141</v>
      </c>
      <c r="E25" s="18" t="s">
        <v>254</v>
      </c>
      <c r="F25" s="8" t="s">
        <v>141</v>
      </c>
      <c r="G25" s="8" t="s">
        <v>24</v>
      </c>
      <c r="H25" s="22" t="s">
        <v>146</v>
      </c>
    </row>
    <row r="26" spans="1:8" ht="25.5" x14ac:dyDescent="0.25">
      <c r="A26" s="7" t="s">
        <v>147</v>
      </c>
      <c r="B26" s="16" t="s">
        <v>148</v>
      </c>
      <c r="C26" s="8" t="s">
        <v>149</v>
      </c>
      <c r="D26" s="22" t="s">
        <v>141</v>
      </c>
      <c r="E26" s="18" t="s">
        <v>254</v>
      </c>
      <c r="F26" s="8" t="s">
        <v>141</v>
      </c>
      <c r="G26" s="8" t="s">
        <v>24</v>
      </c>
      <c r="H26" s="22" t="s">
        <v>146</v>
      </c>
    </row>
    <row r="27" spans="1:8" ht="25.5" x14ac:dyDescent="0.25">
      <c r="A27" s="7" t="s">
        <v>150</v>
      </c>
      <c r="B27" s="8" t="s">
        <v>151</v>
      </c>
      <c r="C27" s="8" t="s">
        <v>152</v>
      </c>
      <c r="D27" s="22" t="s">
        <v>141</v>
      </c>
      <c r="E27" s="18" t="s">
        <v>254</v>
      </c>
      <c r="F27" s="8" t="s">
        <v>141</v>
      </c>
      <c r="G27" s="8" t="s">
        <v>24</v>
      </c>
      <c r="H27" s="22" t="s">
        <v>142</v>
      </c>
    </row>
    <row r="28" spans="1:8" ht="51" x14ac:dyDescent="0.25">
      <c r="A28" s="7" t="s">
        <v>153</v>
      </c>
      <c r="B28" s="8" t="s">
        <v>154</v>
      </c>
      <c r="C28" s="8" t="s">
        <v>155</v>
      </c>
      <c r="D28" s="22" t="s">
        <v>141</v>
      </c>
      <c r="E28" s="18" t="s">
        <v>254</v>
      </c>
      <c r="F28" s="8" t="s">
        <v>141</v>
      </c>
      <c r="G28" s="8" t="s">
        <v>24</v>
      </c>
      <c r="H28" s="22" t="s">
        <v>156</v>
      </c>
    </row>
    <row r="29" spans="1:8" ht="25.5" x14ac:dyDescent="0.25">
      <c r="A29" s="7" t="s">
        <v>157</v>
      </c>
      <c r="B29" s="8" t="s">
        <v>158</v>
      </c>
      <c r="C29" s="8" t="s">
        <v>159</v>
      </c>
      <c r="D29" s="22" t="s">
        <v>141</v>
      </c>
      <c r="E29" s="18" t="s">
        <v>254</v>
      </c>
      <c r="F29" s="8" t="s">
        <v>141</v>
      </c>
      <c r="G29" s="8" t="s">
        <v>24</v>
      </c>
      <c r="H29" s="22" t="s">
        <v>142</v>
      </c>
    </row>
    <row r="30" spans="1:8" ht="25.5" x14ac:dyDescent="0.25">
      <c r="A30" s="7" t="s">
        <v>160</v>
      </c>
      <c r="B30" s="8" t="s">
        <v>161</v>
      </c>
      <c r="C30" s="8" t="s">
        <v>162</v>
      </c>
      <c r="D30" s="22" t="s">
        <v>141</v>
      </c>
      <c r="E30" s="18" t="s">
        <v>254</v>
      </c>
      <c r="F30" s="8" t="s">
        <v>141</v>
      </c>
      <c r="G30" s="8" t="s">
        <v>24</v>
      </c>
      <c r="H30" s="22" t="s">
        <v>163</v>
      </c>
    </row>
    <row r="31" spans="1:8" ht="25.5" x14ac:dyDescent="0.25">
      <c r="A31" s="7" t="s">
        <v>164</v>
      </c>
      <c r="B31" s="8" t="s">
        <v>165</v>
      </c>
      <c r="C31" s="8" t="s">
        <v>166</v>
      </c>
      <c r="D31" s="22" t="s">
        <v>141</v>
      </c>
      <c r="E31" s="18" t="s">
        <v>254</v>
      </c>
      <c r="F31" s="8" t="s">
        <v>141</v>
      </c>
      <c r="G31" s="8" t="s">
        <v>24</v>
      </c>
      <c r="H31" s="22" t="s">
        <v>167</v>
      </c>
    </row>
    <row r="32" spans="1:8" ht="51" x14ac:dyDescent="0.25">
      <c r="A32" s="7" t="s">
        <v>168</v>
      </c>
      <c r="B32" s="8" t="s">
        <v>169</v>
      </c>
      <c r="C32" s="8" t="s">
        <v>170</v>
      </c>
      <c r="D32" s="22" t="s">
        <v>141</v>
      </c>
      <c r="E32" s="18" t="s">
        <v>254</v>
      </c>
      <c r="F32" s="8" t="s">
        <v>141</v>
      </c>
      <c r="G32" s="8" t="s">
        <v>24</v>
      </c>
      <c r="H32" s="22" t="s">
        <v>171</v>
      </c>
    </row>
    <row r="33" spans="1:8" ht="38.25" x14ac:dyDescent="0.25">
      <c r="A33" s="7" t="s">
        <v>172</v>
      </c>
      <c r="B33" s="8" t="s">
        <v>173</v>
      </c>
      <c r="C33" s="8" t="s">
        <v>174</v>
      </c>
      <c r="D33" s="22" t="s">
        <v>141</v>
      </c>
      <c r="E33" s="18" t="s">
        <v>254</v>
      </c>
      <c r="F33" s="8" t="s">
        <v>141</v>
      </c>
      <c r="G33" s="8" t="s">
        <v>24</v>
      </c>
      <c r="H33" s="22" t="s">
        <v>175</v>
      </c>
    </row>
    <row r="34" spans="1:8" ht="25.5" x14ac:dyDescent="0.25">
      <c r="A34" s="7" t="s">
        <v>176</v>
      </c>
      <c r="B34" s="8" t="s">
        <v>177</v>
      </c>
      <c r="C34" s="8" t="s">
        <v>178</v>
      </c>
      <c r="D34" s="22" t="s">
        <v>141</v>
      </c>
      <c r="E34" s="18" t="s">
        <v>254</v>
      </c>
      <c r="F34" s="8" t="s">
        <v>141</v>
      </c>
      <c r="G34" s="8" t="s">
        <v>24</v>
      </c>
      <c r="H34" s="22" t="s">
        <v>146</v>
      </c>
    </row>
    <row r="35" spans="1:8" ht="25.5" x14ac:dyDescent="0.25">
      <c r="A35" s="7" t="s">
        <v>179</v>
      </c>
      <c r="B35" s="8" t="s">
        <v>180</v>
      </c>
      <c r="C35" s="8" t="s">
        <v>181</v>
      </c>
      <c r="D35" s="22" t="s">
        <v>141</v>
      </c>
      <c r="E35" s="18" t="s">
        <v>254</v>
      </c>
      <c r="F35" s="8" t="s">
        <v>141</v>
      </c>
      <c r="G35" s="8" t="s">
        <v>24</v>
      </c>
      <c r="H35" s="22" t="s">
        <v>182</v>
      </c>
    </row>
    <row r="36" spans="1:8" x14ac:dyDescent="0.25">
      <c r="A36" s="8"/>
      <c r="B36" s="8"/>
      <c r="C36" s="8"/>
      <c r="D36" s="22"/>
      <c r="E36" s="18"/>
      <c r="F36" s="8"/>
      <c r="G36" s="8"/>
      <c r="H36" s="22"/>
    </row>
    <row r="37" spans="1:8" x14ac:dyDescent="0.25">
      <c r="A37" s="8"/>
      <c r="B37" s="8"/>
      <c r="C37" s="8"/>
      <c r="D37" s="22"/>
      <c r="E37" s="18"/>
      <c r="F37" s="8"/>
      <c r="G37" s="8"/>
      <c r="H37" s="22"/>
    </row>
    <row r="38" spans="1:8" x14ac:dyDescent="0.25">
      <c r="A38" s="8"/>
      <c r="B38" s="8"/>
      <c r="C38" s="8"/>
      <c r="D38" s="22"/>
      <c r="E38" s="18"/>
      <c r="F38" s="8"/>
      <c r="G38" s="8"/>
      <c r="H38" s="22"/>
    </row>
    <row r="39" spans="1:8" x14ac:dyDescent="0.25">
      <c r="A39" s="8"/>
      <c r="B39" s="8"/>
      <c r="C39" s="8"/>
      <c r="D39" s="22"/>
      <c r="E39" s="18"/>
      <c r="F39" s="8"/>
      <c r="G39" s="8"/>
      <c r="H39" s="22"/>
    </row>
    <row r="40" spans="1:8" x14ac:dyDescent="0.25">
      <c r="A40" s="8"/>
      <c r="B40" s="8"/>
      <c r="C40" s="8"/>
      <c r="D40" s="22"/>
      <c r="E40" s="18"/>
      <c r="F40" s="8"/>
      <c r="G40" s="8"/>
      <c r="H40" s="22"/>
    </row>
    <row r="41" spans="1:8" x14ac:dyDescent="0.25">
      <c r="A41" s="8"/>
      <c r="B41" s="8"/>
      <c r="C41" s="8"/>
      <c r="D41" s="22"/>
      <c r="E41" s="18"/>
      <c r="F41" s="8"/>
      <c r="G41" s="8"/>
      <c r="H41" s="22"/>
    </row>
    <row r="42" spans="1:8" x14ac:dyDescent="0.25">
      <c r="A42" s="8"/>
      <c r="B42" s="8"/>
      <c r="C42" s="8"/>
      <c r="D42" s="22"/>
      <c r="E42" s="18"/>
      <c r="F42" s="8"/>
      <c r="G42" s="8"/>
      <c r="H42" s="22"/>
    </row>
    <row r="43" spans="1:8" x14ac:dyDescent="0.25">
      <c r="A43" s="8"/>
      <c r="B43" s="8"/>
      <c r="C43" s="8"/>
      <c r="D43" s="22"/>
      <c r="E43" s="18"/>
      <c r="F43" s="8"/>
      <c r="G43" s="8"/>
      <c r="H43" s="22"/>
    </row>
    <row r="44" spans="1:8" x14ac:dyDescent="0.25">
      <c r="A44" s="8"/>
      <c r="B44" s="8"/>
      <c r="C44" s="8"/>
      <c r="D44" s="22"/>
      <c r="E44" s="18"/>
      <c r="F44" s="8"/>
      <c r="G44" s="8"/>
      <c r="H44" s="22"/>
    </row>
    <row r="45" spans="1:8" x14ac:dyDescent="0.25">
      <c r="A45" s="8"/>
      <c r="B45" s="8"/>
      <c r="C45" s="8"/>
      <c r="D45" s="22"/>
      <c r="E45" s="18"/>
      <c r="F45" s="8"/>
      <c r="G45" s="8"/>
      <c r="H45" s="22"/>
    </row>
    <row r="46" spans="1:8" x14ac:dyDescent="0.25">
      <c r="A46" s="8"/>
      <c r="B46" s="8"/>
      <c r="C46" s="8"/>
      <c r="D46" s="22"/>
      <c r="E46" s="18"/>
      <c r="F46" s="8"/>
      <c r="G46" s="8"/>
      <c r="H46" s="22"/>
    </row>
    <row r="47" spans="1:8" x14ac:dyDescent="0.25">
      <c r="A47" s="8"/>
      <c r="B47" s="8"/>
      <c r="C47" s="8"/>
      <c r="D47" s="22"/>
      <c r="E47" s="18"/>
      <c r="F47" s="8"/>
      <c r="G47" s="8"/>
      <c r="H47" s="22"/>
    </row>
    <row r="48" spans="1:8" x14ac:dyDescent="0.25">
      <c r="A48" s="8"/>
      <c r="B48" s="8"/>
      <c r="C48" s="8"/>
      <c r="D48" s="22"/>
      <c r="E48" s="18"/>
      <c r="F48" s="8"/>
      <c r="G48" s="8"/>
      <c r="H48" s="22"/>
    </row>
    <row r="49" spans="1:8" x14ac:dyDescent="0.25">
      <c r="A49" s="8"/>
      <c r="B49" s="8"/>
      <c r="C49" s="8"/>
      <c r="D49" s="22"/>
      <c r="E49" s="18"/>
      <c r="F49" s="8"/>
      <c r="G49" s="8"/>
      <c r="H49" s="22"/>
    </row>
    <row r="50" spans="1:8" x14ac:dyDescent="0.25">
      <c r="A50" s="8"/>
      <c r="B50" s="8"/>
      <c r="C50" s="8"/>
      <c r="D50" s="22"/>
      <c r="E50" s="18"/>
      <c r="F50" s="8"/>
      <c r="G50" s="8"/>
      <c r="H50" s="22"/>
    </row>
    <row r="51" spans="1:8" x14ac:dyDescent="0.25">
      <c r="A51" s="8"/>
      <c r="B51" s="8"/>
      <c r="C51" s="8"/>
      <c r="D51" s="22"/>
      <c r="E51" s="18"/>
      <c r="F51" s="8"/>
      <c r="G51" s="8"/>
      <c r="H51" s="22"/>
    </row>
    <row r="52" spans="1:8" x14ac:dyDescent="0.25">
      <c r="A52" s="8"/>
      <c r="B52" s="8"/>
      <c r="C52" s="8"/>
      <c r="D52" s="22"/>
      <c r="E52" s="18"/>
      <c r="F52" s="8"/>
      <c r="G52" s="8"/>
      <c r="H52" s="22"/>
    </row>
    <row r="53" spans="1:8" x14ac:dyDescent="0.25">
      <c r="A53" s="8"/>
      <c r="B53" s="8"/>
      <c r="C53" s="8"/>
      <c r="D53" s="22"/>
      <c r="E53" s="18"/>
      <c r="F53" s="8"/>
      <c r="G53" s="8"/>
      <c r="H53" s="22"/>
    </row>
    <row r="54" spans="1:8" x14ac:dyDescent="0.25">
      <c r="A54" s="8"/>
      <c r="B54" s="8"/>
      <c r="C54" s="8"/>
      <c r="D54" s="22"/>
      <c r="E54" s="18"/>
      <c r="F54" s="8"/>
      <c r="G54" s="8"/>
      <c r="H54" s="22"/>
    </row>
    <row r="55" spans="1:8" x14ac:dyDescent="0.25">
      <c r="A55" s="8"/>
      <c r="B55" s="8"/>
      <c r="C55" s="8"/>
      <c r="D55" s="22"/>
      <c r="E55" s="18"/>
      <c r="F55" s="8"/>
      <c r="G55" s="8"/>
      <c r="H55" s="22"/>
    </row>
    <row r="56" spans="1:8" x14ac:dyDescent="0.25">
      <c r="A56" s="8"/>
      <c r="B56" s="8"/>
      <c r="C56" s="8"/>
      <c r="D56" s="22"/>
      <c r="E56" s="18"/>
      <c r="F56" s="8"/>
      <c r="G56" s="8"/>
      <c r="H56" s="22"/>
    </row>
    <row r="57" spans="1:8" x14ac:dyDescent="0.25">
      <c r="A57" s="8"/>
      <c r="B57" s="8"/>
      <c r="C57" s="8"/>
      <c r="D57" s="22"/>
      <c r="E57" s="18"/>
      <c r="F57" s="8"/>
      <c r="G57" s="8"/>
      <c r="H57" s="22"/>
    </row>
    <row r="58" spans="1:8" x14ac:dyDescent="0.25">
      <c r="A58" s="8"/>
      <c r="B58" s="8"/>
      <c r="C58" s="8"/>
      <c r="D58" s="22"/>
      <c r="E58" s="18"/>
      <c r="F58" s="8"/>
      <c r="G58" s="8"/>
      <c r="H58" s="22"/>
    </row>
    <row r="59" spans="1:8" x14ac:dyDescent="0.25">
      <c r="D59" s="22"/>
      <c r="H59" s="22"/>
    </row>
    <row r="60" spans="1:8" x14ac:dyDescent="0.25">
      <c r="D60" s="22"/>
      <c r="H60" s="22"/>
    </row>
    <row r="61" spans="1:8" x14ac:dyDescent="0.25">
      <c r="D61" s="22"/>
      <c r="H61" s="22"/>
    </row>
    <row r="62" spans="1:8" x14ac:dyDescent="0.25">
      <c r="D62" s="22"/>
      <c r="H62" s="22"/>
    </row>
    <row r="63" spans="1:8" x14ac:dyDescent="0.25">
      <c r="D63" s="22"/>
      <c r="H63" s="22"/>
    </row>
    <row r="64" spans="1:8" x14ac:dyDescent="0.25">
      <c r="D64" s="22"/>
      <c r="H64" s="22"/>
    </row>
    <row r="65" spans="4:8" x14ac:dyDescent="0.25">
      <c r="D65" s="22"/>
      <c r="H65" s="22"/>
    </row>
    <row r="66" spans="4:8" x14ac:dyDescent="0.25">
      <c r="D66" s="22"/>
      <c r="H66" s="22"/>
    </row>
    <row r="67" spans="4:8" x14ac:dyDescent="0.25">
      <c r="D67" s="22"/>
      <c r="H67" s="22"/>
    </row>
    <row r="68" spans="4:8" x14ac:dyDescent="0.25">
      <c r="D68" s="22"/>
      <c r="H68" s="22"/>
    </row>
    <row r="69" spans="4:8" x14ac:dyDescent="0.25">
      <c r="D69" s="22"/>
      <c r="H69" s="22"/>
    </row>
    <row r="70" spans="4:8" x14ac:dyDescent="0.25">
      <c r="D70" s="22"/>
      <c r="H70" s="22"/>
    </row>
    <row r="71" spans="4:8" x14ac:dyDescent="0.25">
      <c r="D71" s="22"/>
      <c r="H71" s="22"/>
    </row>
    <row r="72" spans="4:8" x14ac:dyDescent="0.25">
      <c r="D72" s="22"/>
      <c r="H72" s="22"/>
    </row>
    <row r="73" spans="4:8" x14ac:dyDescent="0.25">
      <c r="D73" s="22"/>
      <c r="H73" s="22"/>
    </row>
    <row r="74" spans="4:8" x14ac:dyDescent="0.25">
      <c r="D74" s="22"/>
      <c r="H74" s="22"/>
    </row>
    <row r="75" spans="4:8" x14ac:dyDescent="0.25">
      <c r="D75" s="22"/>
      <c r="H75" s="22"/>
    </row>
    <row r="76" spans="4:8" x14ac:dyDescent="0.25">
      <c r="D76" s="22"/>
      <c r="H76" s="22"/>
    </row>
    <row r="77" spans="4:8" x14ac:dyDescent="0.25">
      <c r="D77" s="22"/>
      <c r="H77" s="22"/>
    </row>
    <row r="78" spans="4:8" x14ac:dyDescent="0.25">
      <c r="D78" s="22"/>
      <c r="H78" s="22"/>
    </row>
    <row r="79" spans="4:8" x14ac:dyDescent="0.25">
      <c r="D79" s="22"/>
      <c r="H79" s="22"/>
    </row>
  </sheetData>
  <autoFilter ref="A1:G58" xr:uid="{00000000-0009-0000-0000-000001000000}"/>
  <conditionalFormatting sqref="F2:F58">
    <cfRule type="expression" dxfId="3" priority="2">
      <formula>$F2="Fait établi"</formula>
    </cfRule>
    <cfRule type="expression" dxfId="2" priority="3">
      <formula>$F2="Déclaration"</formula>
    </cfRule>
    <cfRule type="expression" dxfId="1" priority="4">
      <formula>$F2="Hypothèse"</formula>
    </cfRule>
    <cfRule type="expression" dxfId="0" priority="5">
      <formula>$F2="Information manquante"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xr:uid="{00000000-0002-0000-0100-000001000000}">
          <x14:formula1>
            <xm:f>Listes!$B$2:$B$5</xm:f>
          </x14:formula1>
          <x14:formula2>
            <xm:f>0</xm:f>
          </x14:formula2>
          <xm:sqref>F2:F58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:C2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4" sqref="B4"/>
    </sheetView>
  </sheetViews>
  <sheetFormatPr baseColWidth="10" defaultColWidth="8.7109375" defaultRowHeight="15" x14ac:dyDescent="0.25"/>
  <cols>
    <col min="1" max="1" width="8" customWidth="1"/>
    <col min="2" max="2" width="95" customWidth="1"/>
    <col min="3" max="3" width="40" customWidth="1"/>
  </cols>
  <sheetData>
    <row r="1" spans="1:3" ht="31.5" customHeight="1" x14ac:dyDescent="0.25">
      <c r="A1" s="6" t="s">
        <v>8</v>
      </c>
      <c r="B1" s="6" t="s">
        <v>185</v>
      </c>
      <c r="C1" s="6" t="s">
        <v>14</v>
      </c>
    </row>
    <row r="2" spans="1:3" x14ac:dyDescent="0.25">
      <c r="A2" s="7" t="s">
        <v>186</v>
      </c>
      <c r="B2" s="8" t="s">
        <v>187</v>
      </c>
      <c r="C2" s="8" t="s">
        <v>188</v>
      </c>
    </row>
    <row r="3" spans="1:3" x14ac:dyDescent="0.25">
      <c r="A3" s="7" t="s">
        <v>189</v>
      </c>
      <c r="B3" s="8" t="s">
        <v>190</v>
      </c>
      <c r="C3" s="8" t="s">
        <v>191</v>
      </c>
    </row>
    <row r="4" spans="1:3" ht="38.25" x14ac:dyDescent="0.25">
      <c r="A4" s="7" t="s">
        <v>192</v>
      </c>
      <c r="B4" s="8" t="s">
        <v>193</v>
      </c>
      <c r="C4" s="8" t="s">
        <v>184</v>
      </c>
    </row>
    <row r="5" spans="1:3" x14ac:dyDescent="0.25">
      <c r="A5" s="7" t="s">
        <v>194</v>
      </c>
      <c r="B5" s="8" t="s">
        <v>195</v>
      </c>
      <c r="C5" s="8" t="s">
        <v>196</v>
      </c>
    </row>
    <row r="6" spans="1:3" ht="25.5" x14ac:dyDescent="0.25">
      <c r="A6" s="7" t="s">
        <v>197</v>
      </c>
      <c r="B6" s="8" t="s">
        <v>198</v>
      </c>
      <c r="C6" s="8" t="s">
        <v>199</v>
      </c>
    </row>
    <row r="7" spans="1:3" x14ac:dyDescent="0.25">
      <c r="A7" s="7" t="s">
        <v>200</v>
      </c>
      <c r="B7" s="8" t="s">
        <v>201</v>
      </c>
      <c r="C7" s="8" t="s">
        <v>202</v>
      </c>
    </row>
    <row r="8" spans="1:3" ht="38.25" x14ac:dyDescent="0.25">
      <c r="A8" s="7" t="s">
        <v>203</v>
      </c>
      <c r="B8" s="8" t="s">
        <v>204</v>
      </c>
      <c r="C8" s="8" t="s">
        <v>205</v>
      </c>
    </row>
    <row r="9" spans="1:3" ht="38.25" x14ac:dyDescent="0.25">
      <c r="A9" s="7" t="s">
        <v>206</v>
      </c>
      <c r="B9" s="8" t="s">
        <v>207</v>
      </c>
      <c r="C9" s="8" t="s">
        <v>208</v>
      </c>
    </row>
    <row r="10" spans="1:3" x14ac:dyDescent="0.25">
      <c r="A10" s="7" t="s">
        <v>209</v>
      </c>
      <c r="B10" s="8" t="s">
        <v>210</v>
      </c>
      <c r="C10" s="8" t="s">
        <v>211</v>
      </c>
    </row>
    <row r="11" spans="1:3" ht="25.5" x14ac:dyDescent="0.25">
      <c r="A11" s="7" t="s">
        <v>212</v>
      </c>
      <c r="B11" s="8" t="s">
        <v>213</v>
      </c>
      <c r="C11" s="8" t="s">
        <v>214</v>
      </c>
    </row>
    <row r="12" spans="1:3" ht="25.5" x14ac:dyDescent="0.25">
      <c r="A12" s="7" t="s">
        <v>215</v>
      </c>
      <c r="B12" s="8" t="s">
        <v>216</v>
      </c>
      <c r="C12" s="8" t="s">
        <v>217</v>
      </c>
    </row>
    <row r="13" spans="1:3" ht="25.5" x14ac:dyDescent="0.25">
      <c r="A13" s="7" t="s">
        <v>218</v>
      </c>
      <c r="B13" s="8" t="s">
        <v>219</v>
      </c>
      <c r="C13" s="8" t="s">
        <v>220</v>
      </c>
    </row>
    <row r="14" spans="1:3" ht="25.5" x14ac:dyDescent="0.25">
      <c r="A14" s="7" t="s">
        <v>221</v>
      </c>
      <c r="B14" s="8" t="s">
        <v>222</v>
      </c>
      <c r="C14" s="8" t="s">
        <v>223</v>
      </c>
    </row>
    <row r="15" spans="1:3" ht="25.5" x14ac:dyDescent="0.25">
      <c r="A15" s="7" t="s">
        <v>224</v>
      </c>
      <c r="B15" s="8" t="s">
        <v>225</v>
      </c>
      <c r="C15" s="8" t="s">
        <v>226</v>
      </c>
    </row>
    <row r="16" spans="1:3" ht="25.5" x14ac:dyDescent="0.25">
      <c r="A16" s="7" t="s">
        <v>227</v>
      </c>
      <c r="B16" s="8" t="s">
        <v>228</v>
      </c>
      <c r="C16" s="8" t="s">
        <v>229</v>
      </c>
    </row>
    <row r="17" spans="1:3" ht="25.5" x14ac:dyDescent="0.25">
      <c r="A17" s="7" t="s">
        <v>230</v>
      </c>
      <c r="B17" s="8" t="s">
        <v>231</v>
      </c>
      <c r="C17" s="8" t="s">
        <v>232</v>
      </c>
    </row>
    <row r="18" spans="1:3" x14ac:dyDescent="0.25">
      <c r="A18" s="7" t="s">
        <v>233</v>
      </c>
      <c r="B18" s="8" t="s">
        <v>234</v>
      </c>
      <c r="C18" s="8" t="s">
        <v>235</v>
      </c>
    </row>
    <row r="19" spans="1:3" x14ac:dyDescent="0.25">
      <c r="A19" s="7" t="s">
        <v>236</v>
      </c>
      <c r="B19" s="8" t="s">
        <v>237</v>
      </c>
      <c r="C19" s="8" t="s">
        <v>238</v>
      </c>
    </row>
    <row r="20" spans="1:3" ht="25.5" x14ac:dyDescent="0.25">
      <c r="A20" s="7" t="s">
        <v>239</v>
      </c>
      <c r="B20" s="8" t="s">
        <v>240</v>
      </c>
      <c r="C20" s="8" t="s">
        <v>241</v>
      </c>
    </row>
    <row r="21" spans="1:3" ht="25.5" x14ac:dyDescent="0.25">
      <c r="A21" s="7" t="s">
        <v>242</v>
      </c>
      <c r="B21" s="8" t="s">
        <v>243</v>
      </c>
      <c r="C21" s="8" t="s">
        <v>244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4"/>
  <dimension ref="A1:G10"/>
  <sheetViews>
    <sheetView showGridLines="0" topLeftCell="A4" zoomScaleNormal="100" workbookViewId="0">
      <selection activeCell="D6" sqref="D6"/>
    </sheetView>
  </sheetViews>
  <sheetFormatPr baseColWidth="10" defaultColWidth="8.7109375" defaultRowHeight="15" x14ac:dyDescent="0.25"/>
  <cols>
    <col min="1" max="1" width="26" customWidth="1"/>
    <col min="2" max="7" width="15" customWidth="1"/>
  </cols>
  <sheetData>
    <row r="1" spans="1:7" ht="18" x14ac:dyDescent="0.25">
      <c r="A1" s="9" t="s">
        <v>245</v>
      </c>
    </row>
    <row r="2" spans="1:7" x14ac:dyDescent="0.25">
      <c r="A2" s="10" t="s">
        <v>246</v>
      </c>
    </row>
    <row r="4" spans="1:7" ht="26.25" x14ac:dyDescent="0.25">
      <c r="A4" s="11" t="s">
        <v>13</v>
      </c>
      <c r="B4" s="11" t="s">
        <v>21</v>
      </c>
      <c r="C4" s="11" t="s">
        <v>247</v>
      </c>
      <c r="D4" s="11" t="s">
        <v>86</v>
      </c>
      <c r="E4" s="11" t="s">
        <v>141</v>
      </c>
      <c r="F4" s="11" t="s">
        <v>248</v>
      </c>
      <c r="G4" s="11" t="s">
        <v>89</v>
      </c>
    </row>
    <row r="5" spans="1:7" x14ac:dyDescent="0.25">
      <c r="A5" s="12" t="s">
        <v>22</v>
      </c>
      <c r="B5" s="13" t="e">
        <f>COUNTIFS(Journal!$D$2:$D$50,$A5,Journal!$F$2:$F$58,B$4)</f>
        <v>#VALUE!</v>
      </c>
      <c r="C5" s="13" t="e">
        <f>COUNTIFS(Journal!$D$2:$D$50,$A5,Journal!$F$2:$F$58,C$4)</f>
        <v>#VALUE!</v>
      </c>
      <c r="D5" s="13" t="e">
        <f>COUNTIFS(Journal!$D$2:$D$50,$A5,Journal!$F$2:$F$58,D$4)</f>
        <v>#VALUE!</v>
      </c>
      <c r="E5" s="13" t="e">
        <f>COUNTIFS(Journal!$D$2:$D$50,$A5,Journal!$F$2:$F$58,E$4)</f>
        <v>#VALUE!</v>
      </c>
      <c r="F5" s="14" t="e">
        <f>SUM(B5:E5)</f>
        <v>#VALUE!</v>
      </c>
      <c r="G5" s="13" t="e">
        <f>COUNTIFS(Journal!#REF!,$A5,Journal!#REF!,"À valider")</f>
        <v>#REF!</v>
      </c>
    </row>
    <row r="6" spans="1:7" x14ac:dyDescent="0.25">
      <c r="A6" s="12" t="s">
        <v>86</v>
      </c>
      <c r="B6" s="23" t="e">
        <f>COUNTIFS(Journal!$D$2:$D$50,$A6,Journal!$F$2:$F$58,B$4)</f>
        <v>#VALUE!</v>
      </c>
      <c r="C6" s="23" t="e">
        <f>COUNTIFS(Journal!$D$2:$D$50,$A6,Journal!$F$2:$F$58,C$4)</f>
        <v>#VALUE!</v>
      </c>
      <c r="D6" s="23" t="e">
        <f>COUNTIFS(Journal!$D$2:$D$50,$A6,Journal!$F$2:$F$58,D$4)</f>
        <v>#VALUE!</v>
      </c>
      <c r="E6" s="23" t="e">
        <f>COUNTIFS(Journal!$D$2:$D$50,$A6,Journal!$F$2:$F$58,E$4)</f>
        <v>#VALUE!</v>
      </c>
      <c r="F6" s="14" t="e">
        <f>SUM(B6:E6)</f>
        <v>#VALUE!</v>
      </c>
      <c r="G6" s="13" t="e">
        <f>COUNTIFS(Journal!#REF!,$A6,Journal!#REF!,"À valider")</f>
        <v>#REF!</v>
      </c>
    </row>
    <row r="7" spans="1:7" x14ac:dyDescent="0.25">
      <c r="A7" s="12" t="s">
        <v>123</v>
      </c>
      <c r="B7" s="23" t="e">
        <f>COUNTIFS(Journal!$D$2:$D$50,$A7,Journal!$F$2:$F$58,B$4)</f>
        <v>#VALUE!</v>
      </c>
      <c r="C7" s="23" t="e">
        <f>COUNTIFS(Journal!$D$2:$D$50,$A7,Journal!$F$2:$F$58,C$4)</f>
        <v>#VALUE!</v>
      </c>
      <c r="D7" s="23" t="e">
        <f>COUNTIFS(Journal!$D$2:$D$50,$A7,Journal!$F$2:$F$58,D$4)</f>
        <v>#VALUE!</v>
      </c>
      <c r="E7" s="23" t="e">
        <f>COUNTIFS(Journal!$D$2:$D$50,$A7,Journal!$F$2:$F$58,E$4)</f>
        <v>#VALUE!</v>
      </c>
      <c r="F7" s="14" t="e">
        <f>SUM(B7:E7)</f>
        <v>#VALUE!</v>
      </c>
      <c r="G7" s="13" t="e">
        <f>COUNTIFS(Journal!#REF!,$A7,Journal!#REF!,"À valider")</f>
        <v>#REF!</v>
      </c>
    </row>
    <row r="8" spans="1:7" x14ac:dyDescent="0.25">
      <c r="A8" s="12" t="s">
        <v>141</v>
      </c>
      <c r="B8" s="23" t="e">
        <f>COUNTIFS(Journal!$D$2:$D$50,$A8,Journal!$F$2:$F$58,B$4)</f>
        <v>#VALUE!</v>
      </c>
      <c r="C8" s="23" t="e">
        <f>COUNTIFS(Journal!$D$2:$D$50,$A8,Journal!$F$2:$F$58,C$4)</f>
        <v>#VALUE!</v>
      </c>
      <c r="D8" s="23" t="e">
        <f>COUNTIFS(Journal!$D$2:$D$50,$A8,Journal!$F$2:$F$58,D$4)</f>
        <v>#VALUE!</v>
      </c>
      <c r="E8" s="23" t="e">
        <f>COUNTIFS(Journal!$D$2:$D$50,$A8,Journal!$F$2:$F$58,E$4)</f>
        <v>#VALUE!</v>
      </c>
      <c r="F8" s="14" t="e">
        <f>SUM(B8:E8)</f>
        <v>#VALUE!</v>
      </c>
      <c r="G8" s="13" t="e">
        <f>COUNTIFS(Journal!#REF!,$A8,Journal!#REF!,"À valider")</f>
        <v>#REF!</v>
      </c>
    </row>
    <row r="9" spans="1:7" x14ac:dyDescent="0.25">
      <c r="A9" s="12" t="s">
        <v>183</v>
      </c>
      <c r="B9" s="23" t="e">
        <f>COUNTIFS(Journal!$D$2:$D$50,$A9,Journal!$F$2:$F$58,B$4)</f>
        <v>#VALUE!</v>
      </c>
      <c r="C9" s="23" t="e">
        <f>COUNTIFS(Journal!$D$2:$D$50,$A9,Journal!$F$2:$F$58,C$4)</f>
        <v>#VALUE!</v>
      </c>
      <c r="D9" s="23" t="e">
        <f>COUNTIFS(Journal!$D$2:$D$50,$A9,Journal!$F$2:$F$58,D$4)</f>
        <v>#VALUE!</v>
      </c>
      <c r="E9" s="23" t="e">
        <f>COUNTIFS(Journal!$D$2:$D$50,$A9,Journal!$F$2:$F$58,E$4)</f>
        <v>#VALUE!</v>
      </c>
      <c r="F9" s="14" t="e">
        <f>SUM(B9:E9)</f>
        <v>#VALUE!</v>
      </c>
      <c r="G9" s="13" t="e">
        <f>COUNTIFS(Journal!#REF!,$A9,Journal!#REF!,"À valider")</f>
        <v>#REF!</v>
      </c>
    </row>
    <row r="10" spans="1:7" x14ac:dyDescent="0.25">
      <c r="A10" s="15" t="s">
        <v>248</v>
      </c>
      <c r="B10" s="14" t="e">
        <f t="shared" ref="B10:G10" si="0">SUM(B5:B9)</f>
        <v>#VALUE!</v>
      </c>
      <c r="C10" s="14" t="e">
        <f t="shared" si="0"/>
        <v>#VALUE!</v>
      </c>
      <c r="D10" s="14" t="e">
        <f t="shared" si="0"/>
        <v>#VALUE!</v>
      </c>
      <c r="E10" s="14" t="e">
        <f t="shared" si="0"/>
        <v>#VALUE!</v>
      </c>
      <c r="F10" s="14" t="e">
        <f t="shared" si="0"/>
        <v>#VALUE!</v>
      </c>
      <c r="G10" s="14" t="e">
        <f t="shared" si="0"/>
        <v>#REF!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5"/>
  <dimension ref="A1:C6"/>
  <sheetViews>
    <sheetView zoomScaleNormal="100" workbookViewId="0"/>
  </sheetViews>
  <sheetFormatPr baseColWidth="10" defaultColWidth="8.7109375" defaultRowHeight="15" x14ac:dyDescent="0.25"/>
  <sheetData>
    <row r="1" spans="1:3" x14ac:dyDescent="0.25">
      <c r="A1" t="s">
        <v>13</v>
      </c>
      <c r="B1" t="s">
        <v>12</v>
      </c>
      <c r="C1" t="s">
        <v>16</v>
      </c>
    </row>
    <row r="2" spans="1:3" x14ac:dyDescent="0.25">
      <c r="A2" t="s">
        <v>22</v>
      </c>
      <c r="B2" t="s">
        <v>21</v>
      </c>
      <c r="C2" t="s">
        <v>89</v>
      </c>
    </row>
    <row r="3" spans="1:3" x14ac:dyDescent="0.25">
      <c r="A3" t="s">
        <v>86</v>
      </c>
      <c r="B3" t="s">
        <v>247</v>
      </c>
      <c r="C3" t="s">
        <v>249</v>
      </c>
    </row>
    <row r="4" spans="1:3" x14ac:dyDescent="0.25">
      <c r="A4" t="s">
        <v>123</v>
      </c>
      <c r="B4" t="s">
        <v>86</v>
      </c>
      <c r="C4" t="s">
        <v>250</v>
      </c>
    </row>
    <row r="5" spans="1:3" x14ac:dyDescent="0.25">
      <c r="A5" t="s">
        <v>141</v>
      </c>
      <c r="B5" t="s">
        <v>141</v>
      </c>
      <c r="C5" t="s">
        <v>25</v>
      </c>
    </row>
    <row r="6" spans="1:3" x14ac:dyDescent="0.25">
      <c r="A6" t="s">
        <v>183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Lisez-moi</vt:lpstr>
      <vt:lpstr>Journal</vt:lpstr>
      <vt:lpstr>Règles de méthode</vt:lpstr>
      <vt:lpstr>Synthèse</vt:lpstr>
      <vt:lpstr>Listes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description/>
  <dcterms:created xsi:type="dcterms:W3CDTF">2026-10-08T14:23:36Z</dcterms:created>
  <dcterms:modified xsi:type="dcterms:W3CDTF">2026-10-08T20:37:41Z</dcterms:modified>
</cp:coreProperties>
</file>